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desimilares-my.sharepoint.com/personal/tirodrigo_porunpaismejor_com_mx/Documents/INFRA 2025/"/>
    </mc:Choice>
  </mc:AlternateContent>
  <xr:revisionPtr revIDLastSave="1967" documentId="8_{7270BE60-7731-4E12-8464-84E4522EDD5D}" xr6:coauthVersionLast="47" xr6:coauthVersionMax="47" xr10:uidLastSave="{4F94617A-D829-457A-9B87-584C3556B887}"/>
  <bookViews>
    <workbookView xWindow="-108" yWindow="-108" windowWidth="23256" windowHeight="12456" xr2:uid="{20C7C855-9733-45AD-9C38-DFCCB6F12F8E}"/>
  </bookViews>
  <sheets>
    <sheet name="172.23.1.0 ESTÁTICO" sheetId="1" r:id="rId1"/>
    <sheet name="172.25.1.0 DHCP" sheetId="2" r:id="rId2"/>
    <sheet name="192.168.10.0 ESTÁTICO" sheetId="5" r:id="rId3"/>
    <sheet name="192.168.20.0 DHCP" sheetId="6" r:id="rId4"/>
    <sheet name="192.168.90.0 DHCP" sheetId="3" r:id="rId5"/>
  </sheets>
  <definedNames>
    <definedName name="_xlnm._FilterDatabase" localSheetId="0" hidden="1">'172.23.1.0 ESTÁTICO'!$B$4:$E$259</definedName>
    <definedName name="_xlnm._FilterDatabase" localSheetId="1" hidden="1">'172.25.1.0 DHCP'!$B$4:$E$259</definedName>
    <definedName name="_xlchart.v1.0" hidden="1">'172.23.1.0 ESTÁTICO'!$G$6:$G$14</definedName>
    <definedName name="_xlchart.v1.1" hidden="1">'172.23.1.0 ESTÁTICO'!$H$6:$H$14</definedName>
    <definedName name="_xlchart.v1.2" hidden="1">'172.25.1.0 DHCP'!$G$6:$G$14</definedName>
    <definedName name="_xlchart.v1.3" hidden="1">'172.25.1.0 DHCP'!$H$6:$H$14</definedName>
    <definedName name="_xlchart.v1.4" hidden="1">'172.25.1.0 DHCP'!$G$6:$G$14</definedName>
    <definedName name="_xlchart.v1.5" hidden="1">'172.25.1.0 DHCP'!$H$6:$H$14</definedName>
    <definedName name="_xlchart.v1.6" hidden="1">'172.25.1.0 DHCP'!$G$6:$G$14</definedName>
    <definedName name="_xlchart.v1.7" hidden="1">'172.25.1.0 DHCP'!$H$6:$H$14</definedName>
    <definedName name="_xlchart.v1.8" hidden="1">'172.25.1.0 DHCP'!$G$6:$G$14</definedName>
    <definedName name="_xlchart.v1.9" hidden="1">'172.25.1.0 DHCP'!$H$6:$H$14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6" l="1"/>
  <c r="I14" i="6"/>
  <c r="H13" i="6"/>
  <c r="I13" i="6"/>
  <c r="H12" i="6"/>
  <c r="I12" i="6"/>
  <c r="H11" i="6"/>
  <c r="I11" i="6"/>
  <c r="H10" i="6"/>
  <c r="I10" i="6"/>
  <c r="H9" i="6"/>
  <c r="I9" i="6"/>
  <c r="H8" i="6"/>
  <c r="I8" i="6"/>
  <c r="H7" i="6"/>
  <c r="I7" i="6"/>
  <c r="I6" i="6"/>
  <c r="H5" i="6"/>
  <c r="I5" i="6"/>
  <c r="H4" i="6"/>
  <c r="I4" i="6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I6" i="5"/>
  <c r="H5" i="5"/>
  <c r="I5" i="5" s="1"/>
  <c r="H4" i="5"/>
  <c r="I4" i="5" s="1"/>
  <c r="I6" i="3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5" i="3"/>
  <c r="I5" i="3" s="1"/>
  <c r="H4" i="3"/>
  <c r="I4" i="3" s="1"/>
  <c r="H6" i="2"/>
  <c r="I6" i="2" s="1"/>
  <c r="H14" i="2"/>
  <c r="I14" i="2" s="1"/>
  <c r="H8" i="1"/>
  <c r="I8" i="1" s="1"/>
  <c r="H14" i="1"/>
  <c r="I14" i="1" s="1"/>
  <c r="H13" i="1"/>
  <c r="I13" i="1" s="1"/>
  <c r="H12" i="1"/>
  <c r="I12" i="1" s="1"/>
  <c r="H10" i="1"/>
  <c r="I10" i="1" s="1"/>
  <c r="H7" i="1"/>
  <c r="I7" i="1" s="1"/>
  <c r="H9" i="1"/>
  <c r="I9" i="1" s="1"/>
  <c r="H6" i="1"/>
  <c r="I6" i="1" s="1"/>
  <c r="H13" i="2"/>
  <c r="I13" i="2" s="1"/>
  <c r="H12" i="2"/>
  <c r="I12" i="2" s="1"/>
  <c r="H11" i="2"/>
  <c r="I11" i="2" s="1"/>
  <c r="H10" i="2"/>
  <c r="I10" i="2" s="1"/>
  <c r="H9" i="2"/>
  <c r="I9" i="2" s="1"/>
  <c r="I8" i="2"/>
  <c r="H7" i="2"/>
  <c r="I7" i="2" s="1"/>
  <c r="H11" i="1"/>
  <c r="I11" i="1" s="1"/>
</calcChain>
</file>

<file path=xl/sharedStrings.xml><?xml version="1.0" encoding="utf-8"?>
<sst xmlns="http://schemas.openxmlformats.org/spreadsheetml/2006/main" count="2241" uniqueCount="1583">
  <si>
    <t>VLAN 10</t>
  </si>
  <si>
    <t>DIRECCION IP</t>
  </si>
  <si>
    <t>DESCRIPCION</t>
  </si>
  <si>
    <t>CATEGORÍA</t>
  </si>
  <si>
    <t>AREA</t>
  </si>
  <si>
    <t>CANTIDAD</t>
  </si>
  <si>
    <t>PORCENTAJE</t>
  </si>
  <si>
    <t>172.23.1.1</t>
  </si>
  <si>
    <t>MERAKI GATEWAY</t>
  </si>
  <si>
    <t xml:space="preserve">ENLACE </t>
  </si>
  <si>
    <t>TI</t>
  </si>
  <si>
    <t>NUMERO TOTAL</t>
  </si>
  <si>
    <t>172.23.1.2</t>
  </si>
  <si>
    <t>¿?</t>
  </si>
  <si>
    <t>BOTONERA</t>
  </si>
  <si>
    <t>172.23.1.3</t>
  </si>
  <si>
    <t>CRONOS QNAP</t>
  </si>
  <si>
    <t>SERVIDOR</t>
  </si>
  <si>
    <t>CCTV</t>
  </si>
  <si>
    <t>172.23.1.4</t>
  </si>
  <si>
    <t>ENLACE</t>
  </si>
  <si>
    <t>172.23.1.5</t>
  </si>
  <si>
    <t>IMPRESORA</t>
  </si>
  <si>
    <t>172.23.1.6</t>
  </si>
  <si>
    <t>NUC</t>
  </si>
  <si>
    <t>172.23.1.7</t>
  </si>
  <si>
    <t>WMS BD</t>
  </si>
  <si>
    <t>DISTRIBUCION</t>
  </si>
  <si>
    <t>RELOJ TALANA</t>
  </si>
  <si>
    <t>172.23.1.8</t>
  </si>
  <si>
    <t>IIS WMS</t>
  </si>
  <si>
    <t>172.23.1.9</t>
  </si>
  <si>
    <t>TELEFONO</t>
  </si>
  <si>
    <t>172.23.1.10</t>
  </si>
  <si>
    <t xml:space="preserve">USUARIO </t>
  </si>
  <si>
    <t>172.23.1.11</t>
  </si>
  <si>
    <t>LIBRE</t>
  </si>
  <si>
    <t>172.23.1.12</t>
  </si>
  <si>
    <t>172.23.1.13</t>
  </si>
  <si>
    <t>NAGIOS OCS</t>
  </si>
  <si>
    <t>172.23.1.14</t>
  </si>
  <si>
    <t>RESPALDO WMS VIRTUALIZADO INTELIGENCIA DE NEGOCIOS</t>
  </si>
  <si>
    <t>172.23.1.15</t>
  </si>
  <si>
    <t>TELEVISOR OFICINA DE TI</t>
  </si>
  <si>
    <t>172.23.1.16</t>
  </si>
  <si>
    <t>WMS DESARROLLO PRUEBAS</t>
  </si>
  <si>
    <t>172.23.1.17</t>
  </si>
  <si>
    <t>172.23.1.18</t>
  </si>
  <si>
    <t>PRUEBAS SAP</t>
  </si>
  <si>
    <t>USUARIO</t>
  </si>
  <si>
    <t>SAP</t>
  </si>
  <si>
    <t>172.23.1.19</t>
  </si>
  <si>
    <t>ANDRES PUELLES</t>
  </si>
  <si>
    <t>CONTABILIDAD</t>
  </si>
  <si>
    <t>172.23.1.20</t>
  </si>
  <si>
    <t xml:space="preserve">RELOJ CONTROL ZTK </t>
  </si>
  <si>
    <t>172.23.1.21</t>
  </si>
  <si>
    <t>172.23.1.22</t>
  </si>
  <si>
    <t>DIRECCION TECNICA</t>
  </si>
  <si>
    <t>172.23.1.23</t>
  </si>
  <si>
    <t>172.23.1.24</t>
  </si>
  <si>
    <t>172.23.1.25</t>
  </si>
  <si>
    <t>OPERACIONES</t>
  </si>
  <si>
    <t>172.23.1.26</t>
  </si>
  <si>
    <t>172.23.1.27</t>
  </si>
  <si>
    <t>172.23.1.28</t>
  </si>
  <si>
    <t>CAMARA LAXMIR JAULA (WEB SERVICE)</t>
  </si>
  <si>
    <t>172.23.1.29</t>
  </si>
  <si>
    <t>172.23.1.30</t>
  </si>
  <si>
    <t>CL_BI01 REYNALDO</t>
  </si>
  <si>
    <t>INTELIGENCIA NEGOCIOS</t>
  </si>
  <si>
    <t>172.23.1.31</t>
  </si>
  <si>
    <t>172.23.1.32</t>
  </si>
  <si>
    <t>GABRIEL JARA</t>
  </si>
  <si>
    <t>172.23.1.33</t>
  </si>
  <si>
    <t>172.23.1.34</t>
  </si>
  <si>
    <t>172.23.1.35</t>
  </si>
  <si>
    <t>BENJAMIN OYARCE</t>
  </si>
  <si>
    <t>172.23.1.36</t>
  </si>
  <si>
    <t>SORTER MINDUGAR</t>
  </si>
  <si>
    <t>172.23.1.37</t>
  </si>
  <si>
    <t xml:space="preserve">YAJAIRA VALLEJOS </t>
  </si>
  <si>
    <t>172.23.1.38</t>
  </si>
  <si>
    <t xml:space="preserve">PAMELA ASTUDILLO </t>
  </si>
  <si>
    <t>172.23.1.39</t>
  </si>
  <si>
    <t>LINUX MIND MAURICIO</t>
  </si>
  <si>
    <t>172.23.1.40</t>
  </si>
  <si>
    <t xml:space="preserve">MAURICIO MADRID </t>
  </si>
  <si>
    <t>172.23.1.41</t>
  </si>
  <si>
    <t>YERKO AREVALO</t>
  </si>
  <si>
    <t>172.23.1.42</t>
  </si>
  <si>
    <t xml:space="preserve">LUIS SILVA </t>
  </si>
  <si>
    <t>172.23.1.43</t>
  </si>
  <si>
    <t xml:space="preserve">WEB CARTON PICKING </t>
  </si>
  <si>
    <t>172.23.1.44</t>
  </si>
  <si>
    <t>ERIC MEZA</t>
  </si>
  <si>
    <t>172.23.1.45</t>
  </si>
  <si>
    <t>CELIA FOLSCH</t>
  </si>
  <si>
    <t>ARRIENDOS Y PATENTES</t>
  </si>
  <si>
    <t>172.23.1.46</t>
  </si>
  <si>
    <t>172.23.1.47</t>
  </si>
  <si>
    <t xml:space="preserve">MERCEDES LANDAETA </t>
  </si>
  <si>
    <t>172.23.1.48</t>
  </si>
  <si>
    <t>OSCAR CABAÑAS</t>
  </si>
  <si>
    <t>RRHH</t>
  </si>
  <si>
    <t>172.23.1.49</t>
  </si>
  <si>
    <t>172.23.1.50</t>
  </si>
  <si>
    <t>ANDRES ORREGO</t>
  </si>
  <si>
    <t>FRANQUICIAS</t>
  </si>
  <si>
    <t>172.23.1.51</t>
  </si>
  <si>
    <t>CRISTOBAL BUSTAMANTE</t>
  </si>
  <si>
    <t>172.23.1.52</t>
  </si>
  <si>
    <t>172.23.1.53</t>
  </si>
  <si>
    <t>CYNTHIA QUINTANILLA</t>
  </si>
  <si>
    <t>CEPIP</t>
  </si>
  <si>
    <t>172.23.1.54</t>
  </si>
  <si>
    <t>172.23.1.55</t>
  </si>
  <si>
    <t>RODRIGO ALARCON</t>
  </si>
  <si>
    <t>172.23.1.56</t>
  </si>
  <si>
    <t xml:space="preserve">ANGEL TRAIPE </t>
  </si>
  <si>
    <t>172.23.1.57</t>
  </si>
  <si>
    <t>172.23.1.58</t>
  </si>
  <si>
    <t>ANA LAZO</t>
  </si>
  <si>
    <t>172.23.1.59</t>
  </si>
  <si>
    <t>QNAP RESPALDO</t>
  </si>
  <si>
    <t>172.23.1.60</t>
  </si>
  <si>
    <t>PATRICIA SUAREZ</t>
  </si>
  <si>
    <t>COMPRAS</t>
  </si>
  <si>
    <t>172.23.1.61</t>
  </si>
  <si>
    <t>FELIPE BASCUÑAN</t>
  </si>
  <si>
    <t>172.23.1.62</t>
  </si>
  <si>
    <t>BRYAN FLORES</t>
  </si>
  <si>
    <t>172.23.1.63</t>
  </si>
  <si>
    <t>172.23.1.64</t>
  </si>
  <si>
    <t>ROBERTO MONTECINOS</t>
  </si>
  <si>
    <t>172.23.1.65</t>
  </si>
  <si>
    <t>EXCEDENTES FALTANTES 6</t>
  </si>
  <si>
    <t>172.23.1.66</t>
  </si>
  <si>
    <t>DENISSE MIGNOLET</t>
  </si>
  <si>
    <t>172.23.1.67</t>
  </si>
  <si>
    <t>ELIZABETH GUAJARDO</t>
  </si>
  <si>
    <t>172.23.1.68</t>
  </si>
  <si>
    <t>IMPRESORA FRANQUICIAS</t>
  </si>
  <si>
    <t>172.23.1.69</t>
  </si>
  <si>
    <t>AQUILES VEAS</t>
  </si>
  <si>
    <t>172.23.1.70</t>
  </si>
  <si>
    <t>SOLANGE SOTO</t>
  </si>
  <si>
    <t>172.23.1.71</t>
  </si>
  <si>
    <t>172.23.1.72</t>
  </si>
  <si>
    <t>JUAN ROMERO</t>
  </si>
  <si>
    <t>172.23.1.73</t>
  </si>
  <si>
    <t>IMPRESORA RRHH COLOR</t>
  </si>
  <si>
    <t>172.23.1.74</t>
  </si>
  <si>
    <t xml:space="preserve">IMPRESORA GUIAS </t>
  </si>
  <si>
    <t>172.23.1.75</t>
  </si>
  <si>
    <t>172.23.1.76</t>
  </si>
  <si>
    <t>IMPRESORA TI</t>
  </si>
  <si>
    <t>172.23.1.77</t>
  </si>
  <si>
    <t>IMPRESORA FACTURAS</t>
  </si>
  <si>
    <t>172.23.1.78</t>
  </si>
  <si>
    <t>172.23.1.79</t>
  </si>
  <si>
    <t>172.23.1.80</t>
  </si>
  <si>
    <t>ADM</t>
  </si>
  <si>
    <t>172.23.1.81</t>
  </si>
  <si>
    <t xml:space="preserve">CAMILA MORRAL </t>
  </si>
  <si>
    <t>172.23.1.82</t>
  </si>
  <si>
    <t>172.23.1.83</t>
  </si>
  <si>
    <t>IMPRESORA DT COLOR</t>
  </si>
  <si>
    <t>172.23.1.84</t>
  </si>
  <si>
    <t>172.23.1.85</t>
  </si>
  <si>
    <t>FERNANDO AVILA</t>
  </si>
  <si>
    <t>172.23.1.86</t>
  </si>
  <si>
    <t>JUAN OSORES</t>
  </si>
  <si>
    <t>172.23.1.87</t>
  </si>
  <si>
    <t>172.23.1.88</t>
  </si>
  <si>
    <t>HUGO SILVA (INTERNACIONAL129)</t>
  </si>
  <si>
    <t>172.23.1.89</t>
  </si>
  <si>
    <t>172.23.1.90</t>
  </si>
  <si>
    <t xml:space="preserve">MARITZA VALENZUELA </t>
  </si>
  <si>
    <t>172.23.1.91</t>
  </si>
  <si>
    <t>172.23.1.92</t>
  </si>
  <si>
    <t>ANGELO BARAHONA</t>
  </si>
  <si>
    <t>172.23.1.93</t>
  </si>
  <si>
    <t xml:space="preserve">MIGUEL BUSTAMANTE </t>
  </si>
  <si>
    <t>172.23.1.94</t>
  </si>
  <si>
    <t>DAMIAN GUERRERO</t>
  </si>
  <si>
    <t>172.23.1.95</t>
  </si>
  <si>
    <t>GITHUB REYNALDO</t>
  </si>
  <si>
    <t>172.23.1.96</t>
  </si>
  <si>
    <t>CHRISTIAN HIGUERA</t>
  </si>
  <si>
    <t>E-COMMERCE</t>
  </si>
  <si>
    <t>172.23.1.97</t>
  </si>
  <si>
    <t>MOISES SILVA</t>
  </si>
  <si>
    <t>172.23.1.98</t>
  </si>
  <si>
    <t>172.23.1.99</t>
  </si>
  <si>
    <t>DAGOBERTO CAMARAS</t>
  </si>
  <si>
    <t>172.23.1.100</t>
  </si>
  <si>
    <t>172.23.1.101</t>
  </si>
  <si>
    <t>DAGOBERTO SANHUEZA</t>
  </si>
  <si>
    <t>172.23.1.102</t>
  </si>
  <si>
    <t>LINUX REYNALDO</t>
  </si>
  <si>
    <t>172.23.1.103</t>
  </si>
  <si>
    <t>172.23.1.104</t>
  </si>
  <si>
    <t>172.23.1.105</t>
  </si>
  <si>
    <t>BASTIAN GUERRERO</t>
  </si>
  <si>
    <t>172.23.1.106</t>
  </si>
  <si>
    <t>MANTENCION</t>
  </si>
  <si>
    <t>172.23.1.107</t>
  </si>
  <si>
    <t>172.23.1.108</t>
  </si>
  <si>
    <t>172.23.1.109</t>
  </si>
  <si>
    <t>SERVIDOR IIS (CL_TI13)</t>
  </si>
  <si>
    <t>172.23.1.110</t>
  </si>
  <si>
    <t>172.23.1.111</t>
  </si>
  <si>
    <t>172.23.1.112</t>
  </si>
  <si>
    <t>172.23.1.113</t>
  </si>
  <si>
    <t>KAREN LOPEZ</t>
  </si>
  <si>
    <t>172.23.1.114</t>
  </si>
  <si>
    <t>172.23.1.115</t>
  </si>
  <si>
    <t>172.23.1.116</t>
  </si>
  <si>
    <t xml:space="preserve">IGNACIO GUAJARDO </t>
  </si>
  <si>
    <t>172.23.1.117</t>
  </si>
  <si>
    <t>172.23.1.118</t>
  </si>
  <si>
    <t>172.23.1.119</t>
  </si>
  <si>
    <t>172.23.1.120</t>
  </si>
  <si>
    <t xml:space="preserve">RELOJ TALANA IMAGEN </t>
  </si>
  <si>
    <t>172.23.1.121</t>
  </si>
  <si>
    <t>172.23.1.122</t>
  </si>
  <si>
    <t>CREDENCIALES RRHH</t>
  </si>
  <si>
    <t>172.23.1.123</t>
  </si>
  <si>
    <t>LAXMIR MOROMISATO</t>
  </si>
  <si>
    <t>172.23.1.124</t>
  </si>
  <si>
    <t>ANA SALAS</t>
  </si>
  <si>
    <t>172.23.1.125</t>
  </si>
  <si>
    <t>VICENTE VALDERRAMA</t>
  </si>
  <si>
    <t>172.23.1.126</t>
  </si>
  <si>
    <t>172.23.1.127</t>
  </si>
  <si>
    <t>SERVIDOR BKP MINDUGAR</t>
  </si>
  <si>
    <t>172.23.1.128</t>
  </si>
  <si>
    <t>172.23.1.129</t>
  </si>
  <si>
    <t>JHON TOVAR</t>
  </si>
  <si>
    <t>172.23.1.130</t>
  </si>
  <si>
    <t>KAREN ROJAS</t>
  </si>
  <si>
    <t>172.23.1.131</t>
  </si>
  <si>
    <t>172.23.1.132</t>
  </si>
  <si>
    <t>DIEGO CASTRO</t>
  </si>
  <si>
    <t>172.23.1.133</t>
  </si>
  <si>
    <t>YERKO IBAÑEZ</t>
  </si>
  <si>
    <t>172.23.1.134</t>
  </si>
  <si>
    <t>172.23.1.135</t>
  </si>
  <si>
    <t>BASTIAN PEÑALILLO</t>
  </si>
  <si>
    <t>172.23.1.136</t>
  </si>
  <si>
    <t>172.23.1.137</t>
  </si>
  <si>
    <t xml:space="preserve">CLAUDIA ARAVENA </t>
  </si>
  <si>
    <t>TESORERIA</t>
  </si>
  <si>
    <t>172.23.1.138</t>
  </si>
  <si>
    <t>CONSTANZA CACERES</t>
  </si>
  <si>
    <t>172.23.1.139</t>
  </si>
  <si>
    <t>SAARI</t>
  </si>
  <si>
    <t>172.23.1.140</t>
  </si>
  <si>
    <t>KISSY FONSECA</t>
  </si>
  <si>
    <t>172.23.1.141</t>
  </si>
  <si>
    <t>172.23.1.142</t>
  </si>
  <si>
    <t xml:space="preserve">SEBASTIAN COLOMA </t>
  </si>
  <si>
    <t>172.23.1.143</t>
  </si>
  <si>
    <t>172.23.1.144</t>
  </si>
  <si>
    <t>172.23.1.145</t>
  </si>
  <si>
    <t>REYNALDO MALAVE</t>
  </si>
  <si>
    <t>172.23.1.146</t>
  </si>
  <si>
    <t>EQUIPO RESPALDO TI</t>
  </si>
  <si>
    <t>172.23.1.147</t>
  </si>
  <si>
    <t>ABOGADOS</t>
  </si>
  <si>
    <t>172.23.1.148</t>
  </si>
  <si>
    <t>172.23.1.149</t>
  </si>
  <si>
    <t xml:space="preserve">JAVIERA CIFUENTES </t>
  </si>
  <si>
    <t>172.23.1.150</t>
  </si>
  <si>
    <t>172.23.1.151</t>
  </si>
  <si>
    <t>OSCAR OYARCE</t>
  </si>
  <si>
    <t>ADMINISTRACION</t>
  </si>
  <si>
    <t>172.23.1.152</t>
  </si>
  <si>
    <t>172.23.1.153</t>
  </si>
  <si>
    <t>172.23.1.154</t>
  </si>
  <si>
    <t xml:space="preserve">SERVIDOR MONITOREO </t>
  </si>
  <si>
    <t>172.23.1.155</t>
  </si>
  <si>
    <t>DANIELA MUÑOZ</t>
  </si>
  <si>
    <t>172.23.1.156</t>
  </si>
  <si>
    <t>172.23.1.157</t>
  </si>
  <si>
    <t>172.23.1.158</t>
  </si>
  <si>
    <t>VALENTINA FARR</t>
  </si>
  <si>
    <t>172.23.1.159</t>
  </si>
  <si>
    <t>172.23.1.160</t>
  </si>
  <si>
    <t>172.23.1.161</t>
  </si>
  <si>
    <t>MICHAEL VENEGAS</t>
  </si>
  <si>
    <t>172.23.1.162</t>
  </si>
  <si>
    <t xml:space="preserve">IIS BACKUP </t>
  </si>
  <si>
    <t>172.23.1.163</t>
  </si>
  <si>
    <t xml:space="preserve">NAYOBY MEDINA </t>
  </si>
  <si>
    <t>172.23.1.164</t>
  </si>
  <si>
    <t>CONSTANZA FUENTES</t>
  </si>
  <si>
    <t>172.23.1.165</t>
  </si>
  <si>
    <t>DNS WMS LOGISTICA</t>
  </si>
  <si>
    <t>172.23.1.166</t>
  </si>
  <si>
    <t>KATIUSKA CARRERA</t>
  </si>
  <si>
    <t>172.23.1.167</t>
  </si>
  <si>
    <t>MANUEL CASANOVA</t>
  </si>
  <si>
    <t>VENTAS</t>
  </si>
  <si>
    <t>172.23.1.168</t>
  </si>
  <si>
    <t>KARINA BAEZA</t>
  </si>
  <si>
    <t>172.23.1.169</t>
  </si>
  <si>
    <t>JUAN VALENZUELA</t>
  </si>
  <si>
    <t>172.23.1.170</t>
  </si>
  <si>
    <t>RENATO CRUZ</t>
  </si>
  <si>
    <t>172.23.1.171</t>
  </si>
  <si>
    <t xml:space="preserve">RODRIGO GAETE </t>
  </si>
  <si>
    <t>APERTURAS Y REMODELACIONES</t>
  </si>
  <si>
    <t>172.23.1.172</t>
  </si>
  <si>
    <t>VALERIA BRAVO</t>
  </si>
  <si>
    <t>172.23.1.173</t>
  </si>
  <si>
    <t>PAULA ZEPEDA</t>
  </si>
  <si>
    <t>172.23.1.174</t>
  </si>
  <si>
    <t>VICTOR ROCHA</t>
  </si>
  <si>
    <t>172.23.1.175</t>
  </si>
  <si>
    <t xml:space="preserve">DENISSE ASMAT </t>
  </si>
  <si>
    <t>172.23.1.176</t>
  </si>
  <si>
    <t>CONTROL DE ACCESO GERENCIA</t>
  </si>
  <si>
    <t>172.23.1.177</t>
  </si>
  <si>
    <t>RELOJ TALANA 2 BODEGA 37</t>
  </si>
  <si>
    <t>172.23.1.178</t>
  </si>
  <si>
    <t>IMPRESORA REMUNERACIONES</t>
  </si>
  <si>
    <t>172.23.1.179</t>
  </si>
  <si>
    <t>CLAUDIA ARANCIBIA</t>
  </si>
  <si>
    <t>172.23.1.180</t>
  </si>
  <si>
    <t xml:space="preserve">IGNACIO CRUZ </t>
  </si>
  <si>
    <t>172.23.1.181</t>
  </si>
  <si>
    <t>SEBASTIAN DONOSO</t>
  </si>
  <si>
    <t>IMAGEN</t>
  </si>
  <si>
    <t>172.23.1.182</t>
  </si>
  <si>
    <t>MAURICIO BUSTOS</t>
  </si>
  <si>
    <t>172.23.1.183</t>
  </si>
  <si>
    <t>MARIA VIVEROS</t>
  </si>
  <si>
    <t>172.23.1.184</t>
  </si>
  <si>
    <t>172.23.1.185</t>
  </si>
  <si>
    <t>JONATHAN RIQUELME</t>
  </si>
  <si>
    <t>172.23.1.186</t>
  </si>
  <si>
    <t>MELVIN ALVA</t>
  </si>
  <si>
    <t>172.23.1.187</t>
  </si>
  <si>
    <t>172.23.1.188</t>
  </si>
  <si>
    <t>172.23.1.189</t>
  </si>
  <si>
    <t>IMPRESORA TESORERIA</t>
  </si>
  <si>
    <t>172.23.1.190</t>
  </si>
  <si>
    <t xml:space="preserve">IMPRESORA </t>
  </si>
  <si>
    <t>172.23.1.191</t>
  </si>
  <si>
    <t>172.23.1.192</t>
  </si>
  <si>
    <t>172.23.1.193</t>
  </si>
  <si>
    <t xml:space="preserve">FABIAN SILVA </t>
  </si>
  <si>
    <t>172.23.1.194</t>
  </si>
  <si>
    <t>ALEJANDRO FUENTES</t>
  </si>
  <si>
    <t>172.23.1.195</t>
  </si>
  <si>
    <t>SCARLETT GOMEZ</t>
  </si>
  <si>
    <t>172.23.1.196</t>
  </si>
  <si>
    <t>172.23.1.197</t>
  </si>
  <si>
    <t>ADPTADOR PUENTE NEXUS SERV</t>
  </si>
  <si>
    <t>172.23.1.198</t>
  </si>
  <si>
    <t>SERVIDOR "CRONOS"</t>
  </si>
  <si>
    <t>172.23.1.199</t>
  </si>
  <si>
    <t>172.23.1.200</t>
  </si>
  <si>
    <t>172.23.1.201</t>
  </si>
  <si>
    <t>172.23.1.202</t>
  </si>
  <si>
    <t xml:space="preserve">VEEAM </t>
  </si>
  <si>
    <t>172.23.1.203</t>
  </si>
  <si>
    <t>172.23.1.204</t>
  </si>
  <si>
    <t>172.23.1.205</t>
  </si>
  <si>
    <t>172.23.1.206</t>
  </si>
  <si>
    <t>172.23.1.207</t>
  </si>
  <si>
    <t>172.23.1.208</t>
  </si>
  <si>
    <t>172.23.1.209</t>
  </si>
  <si>
    <t>MARIA JOSE ACUÑA</t>
  </si>
  <si>
    <t>172.23.1.210</t>
  </si>
  <si>
    <t>JEAN SILVA</t>
  </si>
  <si>
    <t>172.23.1.211</t>
  </si>
  <si>
    <t>NICOLAS CORTES-MONROY</t>
  </si>
  <si>
    <t>172.23.1.212</t>
  </si>
  <si>
    <t>172.23.1.213</t>
  </si>
  <si>
    <t>172.23.1.214</t>
  </si>
  <si>
    <t>172.23.1.215</t>
  </si>
  <si>
    <t xml:space="preserve">MATIAS HIDALGO </t>
  </si>
  <si>
    <t>172.23.1.216</t>
  </si>
  <si>
    <t>ANTOLIN VASQUEZ</t>
  </si>
  <si>
    <t>172.23.1.217</t>
  </si>
  <si>
    <t>IMPRESORA CONTABILIDAD</t>
  </si>
  <si>
    <t>172.23.1.218</t>
  </si>
  <si>
    <t>172.23.1.219</t>
  </si>
  <si>
    <t>IMPRESORA RECEPCION</t>
  </si>
  <si>
    <t>172.23.1.220</t>
  </si>
  <si>
    <t>FELIPE NARANJO</t>
  </si>
  <si>
    <t>172.23.1.221</t>
  </si>
  <si>
    <t>JAVIER FUENTES</t>
  </si>
  <si>
    <t>172.23.1.222</t>
  </si>
  <si>
    <t>ALVARO PACHECO</t>
  </si>
  <si>
    <t>172.23.1.223</t>
  </si>
  <si>
    <t>MONITOREO CAMIONES</t>
  </si>
  <si>
    <t>172.23.1.224</t>
  </si>
  <si>
    <t>172.23.1.225</t>
  </si>
  <si>
    <t>172.23.1.226</t>
  </si>
  <si>
    <t>172.23.1.227</t>
  </si>
  <si>
    <t>172.23.1.228</t>
  </si>
  <si>
    <t>172.23.1.229</t>
  </si>
  <si>
    <t>172.23.1.230</t>
  </si>
  <si>
    <t>ARGENIS APISCOPE</t>
  </si>
  <si>
    <t>172.23.1.231</t>
  </si>
  <si>
    <t>172.23.1.232</t>
  </si>
  <si>
    <t xml:space="preserve">JAEL ARAVENA </t>
  </si>
  <si>
    <t>172.23.1.233</t>
  </si>
  <si>
    <t>172.23.1.234</t>
  </si>
  <si>
    <t>VICTOR GARRIDO</t>
  </si>
  <si>
    <t>172.23.1.235</t>
  </si>
  <si>
    <t>172.23.1.236</t>
  </si>
  <si>
    <t>SEBASTIAN ESCOBAR</t>
  </si>
  <si>
    <t>172.23.1.237</t>
  </si>
  <si>
    <t xml:space="preserve">PAMELA DAVILA </t>
  </si>
  <si>
    <t>172.23.1.238</t>
  </si>
  <si>
    <t>LAURA MANRIQUEZ</t>
  </si>
  <si>
    <t>172.23.1.239</t>
  </si>
  <si>
    <t>172.23.1.240</t>
  </si>
  <si>
    <t>CALL MANAGER (CUCM)</t>
  </si>
  <si>
    <t>172.23.1.241</t>
  </si>
  <si>
    <t>JAVIERA RAMIREZ</t>
  </si>
  <si>
    <t>172.23.1.242</t>
  </si>
  <si>
    <t>172.23.1.243</t>
  </si>
  <si>
    <t>VMWARE WMS</t>
  </si>
  <si>
    <t>172.23.1.244</t>
  </si>
  <si>
    <t xml:space="preserve">LUCIANO BERRIOS </t>
  </si>
  <si>
    <t>172.23.1.245</t>
  </si>
  <si>
    <t>VMWARE ESXI WMS</t>
  </si>
  <si>
    <t>172.23.1.246</t>
  </si>
  <si>
    <t>LENOVO WMS XCLARITY CONTROLLER</t>
  </si>
  <si>
    <t>172.23.1.247</t>
  </si>
  <si>
    <t>VMWARE ESXI</t>
  </si>
  <si>
    <t>172.23.1.248</t>
  </si>
  <si>
    <t>172.23.1.249</t>
  </si>
  <si>
    <t>VMWARE VSPHERE</t>
  </si>
  <si>
    <t>172.23.1.250</t>
  </si>
  <si>
    <t>172.23.1.251</t>
  </si>
  <si>
    <t>172.23.1.252</t>
  </si>
  <si>
    <t>JHON CARDONA</t>
  </si>
  <si>
    <t>172.23.1.253</t>
  </si>
  <si>
    <t>ALMA LINUX 1BIT</t>
  </si>
  <si>
    <t>172.23.1.254</t>
  </si>
  <si>
    <t xml:space="preserve">RESERVADA </t>
  </si>
  <si>
    <t>172.23.1.255</t>
  </si>
  <si>
    <t xml:space="preserve">BROADCAST </t>
  </si>
  <si>
    <t>pi</t>
  </si>
  <si>
    <t>VLAN 9</t>
  </si>
  <si>
    <t>CATEGORIA</t>
  </si>
  <si>
    <t>172.25.1.1</t>
  </si>
  <si>
    <t>172.25.1.2</t>
  </si>
  <si>
    <t>172.25.1.3</t>
  </si>
  <si>
    <t>172.25.1.4</t>
  </si>
  <si>
    <t>IMPRESORA ABOGADOS</t>
  </si>
  <si>
    <t>172.25.1.5</t>
  </si>
  <si>
    <t>172.25.1.6</t>
  </si>
  <si>
    <t>172.25.1.7</t>
  </si>
  <si>
    <t>172.25.1.8</t>
  </si>
  <si>
    <t>172.25.1.9</t>
  </si>
  <si>
    <t>172.25.1.10</t>
  </si>
  <si>
    <t>172.25.1.11</t>
  </si>
  <si>
    <t>172.25.1.12</t>
  </si>
  <si>
    <t>172.25.1.13</t>
  </si>
  <si>
    <t>172.25.1.14</t>
  </si>
  <si>
    <t>172.25.1.15</t>
  </si>
  <si>
    <t>172.25.1.16</t>
  </si>
  <si>
    <t>172.25.1.17</t>
  </si>
  <si>
    <t>172.25.1.18</t>
  </si>
  <si>
    <t>172.25.1.19</t>
  </si>
  <si>
    <t>172.25.1.20</t>
  </si>
  <si>
    <t>172.25.1.21</t>
  </si>
  <si>
    <t>172.25.1.22</t>
  </si>
  <si>
    <t>LEONEL ALBORNOZ</t>
  </si>
  <si>
    <t>172.25.1.23</t>
  </si>
  <si>
    <t>172.25.1.24</t>
  </si>
  <si>
    <t>172.25.1.25</t>
  </si>
  <si>
    <t>172.25.1.26</t>
  </si>
  <si>
    <t>172.25.1.27</t>
  </si>
  <si>
    <t>172.25.1.28</t>
  </si>
  <si>
    <t>172.25.1.29</t>
  </si>
  <si>
    <t>172.25.1.30</t>
  </si>
  <si>
    <t>172.25.1.31</t>
  </si>
  <si>
    <t>172.25.1.32</t>
  </si>
  <si>
    <t>172.25.1.33</t>
  </si>
  <si>
    <t>172.25.1.34</t>
  </si>
  <si>
    <t>172.25.1.35</t>
  </si>
  <si>
    <t>172.25.1.36</t>
  </si>
  <si>
    <t>172.25.1.37</t>
  </si>
  <si>
    <t>172.25.1.38</t>
  </si>
  <si>
    <t>172.25.1.39</t>
  </si>
  <si>
    <t>172.25.1.40</t>
  </si>
  <si>
    <t>172.25.1.41</t>
  </si>
  <si>
    <t>172.25.1.42</t>
  </si>
  <si>
    <t>172.25.1.43</t>
  </si>
  <si>
    <t>172.25.1.44</t>
  </si>
  <si>
    <t>172.25.1.45</t>
  </si>
  <si>
    <t>172.25.1.46</t>
  </si>
  <si>
    <t xml:space="preserve">IMPRESORA SCO </t>
  </si>
  <si>
    <t>172.25.1.47</t>
  </si>
  <si>
    <t>172.25.1.48</t>
  </si>
  <si>
    <t>172.25.1.49</t>
  </si>
  <si>
    <t>172.25.1.50</t>
  </si>
  <si>
    <t>172.25.1.51</t>
  </si>
  <si>
    <t>172.25.1.52</t>
  </si>
  <si>
    <t>172.25.1.53</t>
  </si>
  <si>
    <t>172.25.1.54</t>
  </si>
  <si>
    <t>172.25.1.55</t>
  </si>
  <si>
    <t>172.25.1.56</t>
  </si>
  <si>
    <t>172.25.1.57</t>
  </si>
  <si>
    <t>172.25.1.58</t>
  </si>
  <si>
    <t>172.25.1.59</t>
  </si>
  <si>
    <t>172.25.1.60</t>
  </si>
  <si>
    <t>172.25.1.61</t>
  </si>
  <si>
    <t>172.25.1.62</t>
  </si>
  <si>
    <t>172.25.1.63</t>
  </si>
  <si>
    <t>172.25.1.64</t>
  </si>
  <si>
    <t>172.25.1.65</t>
  </si>
  <si>
    <t>EXCEDENTES Y FALTANTES 2</t>
  </si>
  <si>
    <t>172.25.1.66</t>
  </si>
  <si>
    <t>EXCEDENTES Y FALTANTES 1</t>
  </si>
  <si>
    <t>172.25.1.67</t>
  </si>
  <si>
    <t>EXCEDENTES Y FALTANTES 5</t>
  </si>
  <si>
    <t>172.25.1.68</t>
  </si>
  <si>
    <t>DIEGO CABRERA</t>
  </si>
  <si>
    <t>172.25.1.69</t>
  </si>
  <si>
    <t>EXCEDENTES Y FALTANTES 3</t>
  </si>
  <si>
    <t>172.25.1.70</t>
  </si>
  <si>
    <t>172.25.1.71</t>
  </si>
  <si>
    <t>TABITA RIQUELME</t>
  </si>
  <si>
    <t>172.25.1.72</t>
  </si>
  <si>
    <t>PABLO DIAZ</t>
  </si>
  <si>
    <t>172.25.1.73</t>
  </si>
  <si>
    <t>HECTOR VASQUEZ</t>
  </si>
  <si>
    <t>172.25.1.74</t>
  </si>
  <si>
    <t>172.25.1.75</t>
  </si>
  <si>
    <t>172.25.1.76</t>
  </si>
  <si>
    <t>172.25.1.77</t>
  </si>
  <si>
    <t>172.25.1.78</t>
  </si>
  <si>
    <t>172.25.1.79</t>
  </si>
  <si>
    <t>172.25.1.80</t>
  </si>
  <si>
    <t>172.25.1.81</t>
  </si>
  <si>
    <t>172.25.1.82</t>
  </si>
  <si>
    <t>172.25.1.83</t>
  </si>
  <si>
    <t>172.25.1.84</t>
  </si>
  <si>
    <t>172.25.1.85</t>
  </si>
  <si>
    <t>172.25.1.86</t>
  </si>
  <si>
    <t>172.25.1.87</t>
  </si>
  <si>
    <t>172.25.1.88</t>
  </si>
  <si>
    <t>172.25.1.89</t>
  </si>
  <si>
    <t>172.25.1.90</t>
  </si>
  <si>
    <t>172.25.1.91</t>
  </si>
  <si>
    <t>172.25.1.92</t>
  </si>
  <si>
    <t>172.25.1.93</t>
  </si>
  <si>
    <t>172.25.1.94</t>
  </si>
  <si>
    <t>172.25.1.95</t>
  </si>
  <si>
    <t>172.25.1.96</t>
  </si>
  <si>
    <t>172.25.1.97</t>
  </si>
  <si>
    <t>172.25.1.98</t>
  </si>
  <si>
    <t>172.25.1.99</t>
  </si>
  <si>
    <t>172.25.1.100</t>
  </si>
  <si>
    <t>172.25.1.101</t>
  </si>
  <si>
    <t>172.25.1.102</t>
  </si>
  <si>
    <t>172.25.1.103</t>
  </si>
  <si>
    <t>172.25.1.104</t>
  </si>
  <si>
    <t>172.25.1.105</t>
  </si>
  <si>
    <t>172.25.1.106</t>
  </si>
  <si>
    <t>172.25.1.107</t>
  </si>
  <si>
    <t>172.25.1.108</t>
  </si>
  <si>
    <t>172.25.1.109</t>
  </si>
  <si>
    <t>172.25.1.110</t>
  </si>
  <si>
    <t>172.25.1.111</t>
  </si>
  <si>
    <t>172.25.1.112</t>
  </si>
  <si>
    <t>172.25.1.113</t>
  </si>
  <si>
    <t>172.25.1.114</t>
  </si>
  <si>
    <t>172.25.1.115</t>
  </si>
  <si>
    <t>172.25.1.116</t>
  </si>
  <si>
    <t>172.25.1.117</t>
  </si>
  <si>
    <t>172.25.1.118</t>
  </si>
  <si>
    <t>172.25.1.119</t>
  </si>
  <si>
    <t>172.25.1.120</t>
  </si>
  <si>
    <t>172.25.1.121</t>
  </si>
  <si>
    <t>172.25.1.122</t>
  </si>
  <si>
    <t>172.25.1.123</t>
  </si>
  <si>
    <t>172.25.1.124</t>
  </si>
  <si>
    <t>ANDREA SALAZAR</t>
  </si>
  <si>
    <t>172.25.1.125</t>
  </si>
  <si>
    <t>172.25.1.126</t>
  </si>
  <si>
    <t>172.25.1.127</t>
  </si>
  <si>
    <t>CHRISTIAN DHUHERTENS</t>
  </si>
  <si>
    <t>172.25.1.128</t>
  </si>
  <si>
    <t>MARTIN ARANEDA</t>
  </si>
  <si>
    <t>172.25.1.129</t>
  </si>
  <si>
    <t>172.25.1.130</t>
  </si>
  <si>
    <t>172.25.1.131</t>
  </si>
  <si>
    <t>172.25.1.132</t>
  </si>
  <si>
    <t>172.25.1.133</t>
  </si>
  <si>
    <t>172.25.1.134</t>
  </si>
  <si>
    <t>172.25.1.135</t>
  </si>
  <si>
    <t>172.25.1.136</t>
  </si>
  <si>
    <t>172.25.1.137</t>
  </si>
  <si>
    <t>172.25.1.138</t>
  </si>
  <si>
    <t>172.25.1.139</t>
  </si>
  <si>
    <t>172.25.1.140</t>
  </si>
  <si>
    <t>172.25.1.141</t>
  </si>
  <si>
    <t>172.25.1.142</t>
  </si>
  <si>
    <t>172.25.1.143</t>
  </si>
  <si>
    <t>172.25.1.144</t>
  </si>
  <si>
    <t>172.25.1.145</t>
  </si>
  <si>
    <t>172.25.1.146</t>
  </si>
  <si>
    <t>172.25.1.147</t>
  </si>
  <si>
    <t>172.25.1.148</t>
  </si>
  <si>
    <t>172.25.1.149</t>
  </si>
  <si>
    <t>172.25.1.150</t>
  </si>
  <si>
    <t>172.25.1.151</t>
  </si>
  <si>
    <t>172.25.1.152</t>
  </si>
  <si>
    <t>172.25.1.153</t>
  </si>
  <si>
    <t>172.25.1.154</t>
  </si>
  <si>
    <t>172.25.1.155</t>
  </si>
  <si>
    <t>172.25.1.156</t>
  </si>
  <si>
    <t>172.25.1.157</t>
  </si>
  <si>
    <t>172.25.1.158</t>
  </si>
  <si>
    <t>172.25.1.159</t>
  </si>
  <si>
    <t>RAWIN DURAN</t>
  </si>
  <si>
    <t>172.25.1.160</t>
  </si>
  <si>
    <t>172.25.1.161</t>
  </si>
  <si>
    <t>172.25.1.162</t>
  </si>
  <si>
    <t>172.25.1.163</t>
  </si>
  <si>
    <t xml:space="preserve">MANUEL RODRÍGUEZ </t>
  </si>
  <si>
    <t>172.25.1.164</t>
  </si>
  <si>
    <t>172.25.1.165</t>
  </si>
  <si>
    <t>172.25.1.166</t>
  </si>
  <si>
    <t>172.25.1.167</t>
  </si>
  <si>
    <t>172.25.1.168</t>
  </si>
  <si>
    <t>172.25.1.169</t>
  </si>
  <si>
    <t>172.25.1.170</t>
  </si>
  <si>
    <t>172.25.1.171</t>
  </si>
  <si>
    <t>172.25.1.172</t>
  </si>
  <si>
    <t>172.25.1.173</t>
  </si>
  <si>
    <t>172.25.1.174</t>
  </si>
  <si>
    <t>172.25.1.175</t>
  </si>
  <si>
    <t>172.25.1.176</t>
  </si>
  <si>
    <t>172.25.1.177</t>
  </si>
  <si>
    <t>172.25.1.178</t>
  </si>
  <si>
    <t>172.25.1.179</t>
  </si>
  <si>
    <t>172.25.1.180</t>
  </si>
  <si>
    <t>172.25.1.181</t>
  </si>
  <si>
    <t>172.25.1.182</t>
  </si>
  <si>
    <t>172.25.1.183</t>
  </si>
  <si>
    <t>172.25.1.184</t>
  </si>
  <si>
    <t>172.25.1.185</t>
  </si>
  <si>
    <t>172.25.1.186</t>
  </si>
  <si>
    <t>172.25.1.187</t>
  </si>
  <si>
    <t>172.25.1.188</t>
  </si>
  <si>
    <t>172.25.1.189</t>
  </si>
  <si>
    <t>172.25.1.190</t>
  </si>
  <si>
    <t>172.25.1.191</t>
  </si>
  <si>
    <t>172.25.1.192</t>
  </si>
  <si>
    <t>172.25.1.193</t>
  </si>
  <si>
    <t>172.25.1.194</t>
  </si>
  <si>
    <t>172.25.1.196</t>
  </si>
  <si>
    <t>172.25.1.197</t>
  </si>
  <si>
    <t>172.25.1.198</t>
  </si>
  <si>
    <t>172.25.1.199</t>
  </si>
  <si>
    <t>172.25.1.200</t>
  </si>
  <si>
    <t>172.25.1.201</t>
  </si>
  <si>
    <t>172.25.1.202</t>
  </si>
  <si>
    <t>172.25.1.203</t>
  </si>
  <si>
    <t>172.25.1.204</t>
  </si>
  <si>
    <t>172.25.1.205</t>
  </si>
  <si>
    <t>172.25.1.206</t>
  </si>
  <si>
    <t>172.25.1.207</t>
  </si>
  <si>
    <t>172.25.1.208</t>
  </si>
  <si>
    <t>172.25.1.209</t>
  </si>
  <si>
    <t>172.25.1.210</t>
  </si>
  <si>
    <t>172.25.1.211</t>
  </si>
  <si>
    <t>172.25.1.212</t>
  </si>
  <si>
    <t>172.25.1.213</t>
  </si>
  <si>
    <t>IMPRESORA EYF</t>
  </si>
  <si>
    <t>172.25.1.214</t>
  </si>
  <si>
    <t>172.25.1.215</t>
  </si>
  <si>
    <t>172.25.1.216</t>
  </si>
  <si>
    <t>172.25.1.217</t>
  </si>
  <si>
    <t>172.25.1.218</t>
  </si>
  <si>
    <t>172.25.1.219</t>
  </si>
  <si>
    <t>172.25.1.220</t>
  </si>
  <si>
    <t>172.25.1.221</t>
  </si>
  <si>
    <t>172.25.1.222</t>
  </si>
  <si>
    <t>172.25.1.223</t>
  </si>
  <si>
    <t>172.25.1.224</t>
  </si>
  <si>
    <t>172.25.1.225</t>
  </si>
  <si>
    <t>172.25.1.226</t>
  </si>
  <si>
    <t>172.25.1.227</t>
  </si>
  <si>
    <t>172.25.1.228</t>
  </si>
  <si>
    <t>172.25.1.229</t>
  </si>
  <si>
    <t>172.25.1.230</t>
  </si>
  <si>
    <t>172.25.1.231</t>
  </si>
  <si>
    <t>172.25.1.232</t>
  </si>
  <si>
    <t>172.25.1.233</t>
  </si>
  <si>
    <t>172.25.1.234</t>
  </si>
  <si>
    <t>172.25.1.235</t>
  </si>
  <si>
    <t>172.25.1.236</t>
  </si>
  <si>
    <t>172.25.1.237</t>
  </si>
  <si>
    <t>172.25.1.238</t>
  </si>
  <si>
    <t>172.25.1.239</t>
  </si>
  <si>
    <t>172.25.1.240</t>
  </si>
  <si>
    <t>172.25.1.241</t>
  </si>
  <si>
    <t>172.25.1.242</t>
  </si>
  <si>
    <t>172.25.1.243</t>
  </si>
  <si>
    <t>172.25.1.244</t>
  </si>
  <si>
    <t>172.25.1.245</t>
  </si>
  <si>
    <t>IMPRESORA MARTIN</t>
  </si>
  <si>
    <t>172.25.1.246</t>
  </si>
  <si>
    <t>172.25.1.247</t>
  </si>
  <si>
    <t>IMPRESORA COMPRAS</t>
  </si>
  <si>
    <t>172.25.1.248</t>
  </si>
  <si>
    <t>172.25.1.249</t>
  </si>
  <si>
    <t>172.25.1.250</t>
  </si>
  <si>
    <t>172.25.1.251</t>
  </si>
  <si>
    <t>172.25.1.252</t>
  </si>
  <si>
    <t>VANESSA GALLARDO</t>
  </si>
  <si>
    <t>172.25.1.253</t>
  </si>
  <si>
    <t>LORENA ESPINOZA</t>
  </si>
  <si>
    <t>172.25.1.254</t>
  </si>
  <si>
    <t>JENNIFER VILLAVICENCIO</t>
  </si>
  <si>
    <t>172.25.1.255</t>
  </si>
  <si>
    <t>192.168.10.1</t>
  </si>
  <si>
    <t>192.168.10.2</t>
  </si>
  <si>
    <t>192.168.10.3</t>
  </si>
  <si>
    <t>192.168.10.4</t>
  </si>
  <si>
    <t>192.168.10.5</t>
  </si>
  <si>
    <t>192.168.10.6</t>
  </si>
  <si>
    <t>192.168.10.7</t>
  </si>
  <si>
    <t>192.168.10.8</t>
  </si>
  <si>
    <t>192.168.10.9</t>
  </si>
  <si>
    <t>192.168.10.10</t>
  </si>
  <si>
    <t>192.168.10.11</t>
  </si>
  <si>
    <t>192.168.10.12</t>
  </si>
  <si>
    <t>192.168.10.13</t>
  </si>
  <si>
    <t>192.168.10.14</t>
  </si>
  <si>
    <t>AP WMS-SIMI</t>
  </si>
  <si>
    <t>192.168.10.15</t>
  </si>
  <si>
    <t>192.168.10.16</t>
  </si>
  <si>
    <t>192.168.10.17</t>
  </si>
  <si>
    <t>192.168.10.18</t>
  </si>
  <si>
    <t>192.168.10.19</t>
  </si>
  <si>
    <t>192.168.10.20</t>
  </si>
  <si>
    <t>192.168.10.21</t>
  </si>
  <si>
    <t>192.168.10.22</t>
  </si>
  <si>
    <t>192.168.10.23</t>
  </si>
  <si>
    <t>192.168.10.24</t>
  </si>
  <si>
    <t>192.168.10.25</t>
  </si>
  <si>
    <t>192.168.10.26</t>
  </si>
  <si>
    <t>192.168.10.27</t>
  </si>
  <si>
    <t>192.168.10.28</t>
  </si>
  <si>
    <t>192.168.10.29</t>
  </si>
  <si>
    <t>192.168.10.30</t>
  </si>
  <si>
    <t>192.168.10.31</t>
  </si>
  <si>
    <t>192.168.10.32</t>
  </si>
  <si>
    <t>192.168.10.33</t>
  </si>
  <si>
    <t>192.168.10.34</t>
  </si>
  <si>
    <t>192.168.10.35</t>
  </si>
  <si>
    <t>192.168.10.36</t>
  </si>
  <si>
    <t>192.168.10.37</t>
  </si>
  <si>
    <t>192.168.10.38</t>
  </si>
  <si>
    <t>192.168.10.39</t>
  </si>
  <si>
    <t>192.168.10.40</t>
  </si>
  <si>
    <t>192.168.10.41</t>
  </si>
  <si>
    <t>192.168.10.42</t>
  </si>
  <si>
    <t>192.168.10.43</t>
  </si>
  <si>
    <t>192.168.10.44</t>
  </si>
  <si>
    <t>192.168.10.45</t>
  </si>
  <si>
    <t>192.168.10.46</t>
  </si>
  <si>
    <t>192.168.10.47</t>
  </si>
  <si>
    <t>192.168.10.48</t>
  </si>
  <si>
    <t>192.168.10.49</t>
  </si>
  <si>
    <t>192.168.10.50</t>
  </si>
  <si>
    <t>192.168.10.51</t>
  </si>
  <si>
    <t>192.168.10.52</t>
  </si>
  <si>
    <t>192.168.10.53</t>
  </si>
  <si>
    <t>192.168.10.54</t>
  </si>
  <si>
    <t>192.168.10.55</t>
  </si>
  <si>
    <t>192.168.10.56</t>
  </si>
  <si>
    <t>192.168.10.57</t>
  </si>
  <si>
    <t>192.168.10.58</t>
  </si>
  <si>
    <t>192.168.10.59</t>
  </si>
  <si>
    <t>192.168.10.60</t>
  </si>
  <si>
    <t>192.168.10.61</t>
  </si>
  <si>
    <t>192.168.10.62</t>
  </si>
  <si>
    <t>192.168.10.63</t>
  </si>
  <si>
    <t>192.168.10.64</t>
  </si>
  <si>
    <t>192.168.10.65</t>
  </si>
  <si>
    <t>192.168.10.66</t>
  </si>
  <si>
    <t>192.168.10.67</t>
  </si>
  <si>
    <t>192.168.10.68</t>
  </si>
  <si>
    <t>192.168.10.69</t>
  </si>
  <si>
    <t>192.168.10.70</t>
  </si>
  <si>
    <t>192.168.10.71</t>
  </si>
  <si>
    <t>192.168.10.72</t>
  </si>
  <si>
    <t>192.168.10.73</t>
  </si>
  <si>
    <t>192.168.10.74</t>
  </si>
  <si>
    <t>192.168.10.75</t>
  </si>
  <si>
    <t>192.168.10.76</t>
  </si>
  <si>
    <t>192.168.10.77</t>
  </si>
  <si>
    <t>192.168.10.78</t>
  </si>
  <si>
    <t>192.168.10.79</t>
  </si>
  <si>
    <t>192.168.10.80</t>
  </si>
  <si>
    <t>192.168.10.81</t>
  </si>
  <si>
    <t>192.168.10.82</t>
  </si>
  <si>
    <t>192.168.10.83</t>
  </si>
  <si>
    <t>192.168.10.84</t>
  </si>
  <si>
    <t>192.168.10.85</t>
  </si>
  <si>
    <t>192.168.10.86</t>
  </si>
  <si>
    <t>192.168.10.87</t>
  </si>
  <si>
    <t>192.168.10.88</t>
  </si>
  <si>
    <t>192.168.10.89</t>
  </si>
  <si>
    <t>192.168.10.90</t>
  </si>
  <si>
    <t>192.168.10.91</t>
  </si>
  <si>
    <t>192.168.10.92</t>
  </si>
  <si>
    <t>192.168.10.93</t>
  </si>
  <si>
    <t>192.168.10.94</t>
  </si>
  <si>
    <t>192.168.10.95</t>
  </si>
  <si>
    <t>192.168.10.96</t>
  </si>
  <si>
    <t>192.168.10.97</t>
  </si>
  <si>
    <t>192.168.10.98</t>
  </si>
  <si>
    <t>192.168.10.99</t>
  </si>
  <si>
    <t>192.168.10.100</t>
  </si>
  <si>
    <t>192.168.10.101</t>
  </si>
  <si>
    <t>192.168.10.102</t>
  </si>
  <si>
    <t>192.168.10.103</t>
  </si>
  <si>
    <t>192.168.10.104</t>
  </si>
  <si>
    <t>192.168.10.105</t>
  </si>
  <si>
    <t>192.168.10.106</t>
  </si>
  <si>
    <t>192.168.10.107</t>
  </si>
  <si>
    <t>192.168.10.108</t>
  </si>
  <si>
    <t>192.168.10.109</t>
  </si>
  <si>
    <t>192.168.10.110</t>
  </si>
  <si>
    <t>192.168.10.111</t>
  </si>
  <si>
    <t>192.168.10.112</t>
  </si>
  <si>
    <t>192.168.10.113</t>
  </si>
  <si>
    <t>192.168.10.114</t>
  </si>
  <si>
    <t>192.168.10.115</t>
  </si>
  <si>
    <t>192.168.10.116</t>
  </si>
  <si>
    <t>192.168.10.117</t>
  </si>
  <si>
    <t>192.168.10.118</t>
  </si>
  <si>
    <t>192.168.10.119</t>
  </si>
  <si>
    <t>192.168.10.120</t>
  </si>
  <si>
    <t>192.168.10.121</t>
  </si>
  <si>
    <t>192.168.10.122</t>
  </si>
  <si>
    <t>192.168.10.123</t>
  </si>
  <si>
    <t>192.168.10.124</t>
  </si>
  <si>
    <t>192.168.10.125</t>
  </si>
  <si>
    <t>192.168.10.126</t>
  </si>
  <si>
    <t>192.168.10.127</t>
  </si>
  <si>
    <t>192.168.10.128</t>
  </si>
  <si>
    <t>192.168.10.129</t>
  </si>
  <si>
    <t>192.168.10.130</t>
  </si>
  <si>
    <t>192.168.10.131</t>
  </si>
  <si>
    <t>192.168.10.132</t>
  </si>
  <si>
    <t>192.168.10.133</t>
  </si>
  <si>
    <t>192.168.10.134</t>
  </si>
  <si>
    <t>192.168.10.135</t>
  </si>
  <si>
    <t>192.168.10.136</t>
  </si>
  <si>
    <t>192.168.10.137</t>
  </si>
  <si>
    <t>192.168.10.138</t>
  </si>
  <si>
    <t>192.168.10.139</t>
  </si>
  <si>
    <t>192.168.10.140</t>
  </si>
  <si>
    <t>192.168.10.141</t>
  </si>
  <si>
    <t>192.168.10.142</t>
  </si>
  <si>
    <t>192.168.10.143</t>
  </si>
  <si>
    <t>192.168.10.144</t>
  </si>
  <si>
    <t>192.168.10.145</t>
  </si>
  <si>
    <t>192.168.10.146</t>
  </si>
  <si>
    <t>192.168.10.147</t>
  </si>
  <si>
    <t>192.168.10.148</t>
  </si>
  <si>
    <t>192.168.10.149</t>
  </si>
  <si>
    <t>192.168.10.150</t>
  </si>
  <si>
    <t>192.168.10.151</t>
  </si>
  <si>
    <t>192.168.10.152</t>
  </si>
  <si>
    <t>192.168.10.153</t>
  </si>
  <si>
    <t>192.168.10.154</t>
  </si>
  <si>
    <t>192.168.10.155</t>
  </si>
  <si>
    <t>192.168.10.156</t>
  </si>
  <si>
    <t>192.168.10.157</t>
  </si>
  <si>
    <t>192.168.10.158</t>
  </si>
  <si>
    <t>192.168.10.159</t>
  </si>
  <si>
    <t>192.168.10.160</t>
  </si>
  <si>
    <t>192.168.10.161</t>
  </si>
  <si>
    <t>192.168.10.162</t>
  </si>
  <si>
    <t>192.168.10.163</t>
  </si>
  <si>
    <t>192.168.10.164</t>
  </si>
  <si>
    <t>192.168.10.165</t>
  </si>
  <si>
    <t>192.168.10.166</t>
  </si>
  <si>
    <t>192.168.10.167</t>
  </si>
  <si>
    <t>192.168.10.168</t>
  </si>
  <si>
    <t>192.168.10.169</t>
  </si>
  <si>
    <t>192.168.10.170</t>
  </si>
  <si>
    <t>192.168.10.171</t>
  </si>
  <si>
    <t>192.168.10.172</t>
  </si>
  <si>
    <t>192.168.10.173</t>
  </si>
  <si>
    <t>192.168.10.174</t>
  </si>
  <si>
    <t>192.168.10.175</t>
  </si>
  <si>
    <t>192.168.10.176</t>
  </si>
  <si>
    <t>192.168.10.177</t>
  </si>
  <si>
    <t>192.168.10.178</t>
  </si>
  <si>
    <t>192.168.10.179</t>
  </si>
  <si>
    <t>192.168.10.180</t>
  </si>
  <si>
    <t>192.168.10.181</t>
  </si>
  <si>
    <t>192.168.10.182</t>
  </si>
  <si>
    <t>192.168.10.183</t>
  </si>
  <si>
    <t>192.168.10.184</t>
  </si>
  <si>
    <t>192.168.10.185</t>
  </si>
  <si>
    <t>192.168.10.186</t>
  </si>
  <si>
    <t>192.168.10.187</t>
  </si>
  <si>
    <t>192.168.10.188</t>
  </si>
  <si>
    <t>192.168.10.189</t>
  </si>
  <si>
    <t>192.168.10.190</t>
  </si>
  <si>
    <t>192.168.10.191</t>
  </si>
  <si>
    <t>192.168.10.192</t>
  </si>
  <si>
    <t>192.168.10.193</t>
  </si>
  <si>
    <t>192.168.10.194</t>
  </si>
  <si>
    <t>192.168.10.195</t>
  </si>
  <si>
    <t>192.168.10.196</t>
  </si>
  <si>
    <t>192.168.10.197</t>
  </si>
  <si>
    <t>192.168.10.198</t>
  </si>
  <si>
    <t>192.168.10.199</t>
  </si>
  <si>
    <t>192.168.10.200</t>
  </si>
  <si>
    <t>192.168.10.201</t>
  </si>
  <si>
    <t>192.168.10.202</t>
  </si>
  <si>
    <t>192.168.10.203</t>
  </si>
  <si>
    <t>192.168.10.204</t>
  </si>
  <si>
    <t>192.168.10.205</t>
  </si>
  <si>
    <t>192.168.10.206</t>
  </si>
  <si>
    <t>192.168.10.207</t>
  </si>
  <si>
    <t>192.168.10.208</t>
  </si>
  <si>
    <t>192.168.10.209</t>
  </si>
  <si>
    <t>192.168.10.210</t>
  </si>
  <si>
    <t>192.168.10.211</t>
  </si>
  <si>
    <t>192.168.10.212</t>
  </si>
  <si>
    <t>192.168.10.213</t>
  </si>
  <si>
    <t>192.168.10.214</t>
  </si>
  <si>
    <t>192.168.10.215</t>
  </si>
  <si>
    <t>192.168.10.216</t>
  </si>
  <si>
    <t>192.168.10.217</t>
  </si>
  <si>
    <t>192.168.10.218</t>
  </si>
  <si>
    <t>192.168.10.219</t>
  </si>
  <si>
    <t>192.168.10.220</t>
  </si>
  <si>
    <t>192.168.10.221</t>
  </si>
  <si>
    <t>192.168.10.222</t>
  </si>
  <si>
    <t>192.168.10.223</t>
  </si>
  <si>
    <t>192.168.10.224</t>
  </si>
  <si>
    <t>192.168.10.225</t>
  </si>
  <si>
    <t>192.168.10.226</t>
  </si>
  <si>
    <t>192.168.10.227</t>
  </si>
  <si>
    <t>192.168.10.228</t>
  </si>
  <si>
    <t>192.168.10.229</t>
  </si>
  <si>
    <t>192.168.10.230</t>
  </si>
  <si>
    <t>192.168.10.231</t>
  </si>
  <si>
    <t>192.168.10.232</t>
  </si>
  <si>
    <t>192.168.10.233</t>
  </si>
  <si>
    <t>192.168.10.234</t>
  </si>
  <si>
    <t>192.168.10.235</t>
  </si>
  <si>
    <t>192.168.10.236</t>
  </si>
  <si>
    <t>192.168.10.237</t>
  </si>
  <si>
    <t>192.168.10.238</t>
  </si>
  <si>
    <t>192.168.10.239</t>
  </si>
  <si>
    <t>192.168.10.240</t>
  </si>
  <si>
    <t>192.168.10.241</t>
  </si>
  <si>
    <t>192.168.10.242</t>
  </si>
  <si>
    <t>192.168.10.243</t>
  </si>
  <si>
    <t>192.168.10.244</t>
  </si>
  <si>
    <t>192.168.10.245</t>
  </si>
  <si>
    <t>192.168.10.246</t>
  </si>
  <si>
    <t>192.168.10.247</t>
  </si>
  <si>
    <t>192.168.10.248</t>
  </si>
  <si>
    <t>192.168.10.249</t>
  </si>
  <si>
    <t>192.168.10.250</t>
  </si>
  <si>
    <t>192.168.10.251</t>
  </si>
  <si>
    <t>192.168.10.252</t>
  </si>
  <si>
    <t>192.168.10.253</t>
  </si>
  <si>
    <t>192.168.10.254</t>
  </si>
  <si>
    <t>GATEWAY</t>
  </si>
  <si>
    <t>192.168.10.255</t>
  </si>
  <si>
    <t>192.168.20.1</t>
  </si>
  <si>
    <t>192.168.20.2</t>
  </si>
  <si>
    <t>192.168.20.3</t>
  </si>
  <si>
    <t>192.168.20.4</t>
  </si>
  <si>
    <t>192.168.20.5</t>
  </si>
  <si>
    <t>192.168.20.6</t>
  </si>
  <si>
    <t>192.168.20.7</t>
  </si>
  <si>
    <t>192.168.20.8</t>
  </si>
  <si>
    <t>192.168.20.9</t>
  </si>
  <si>
    <t>192.168.20.10</t>
  </si>
  <si>
    <t>192.168.20.11</t>
  </si>
  <si>
    <t>192.168.20.12</t>
  </si>
  <si>
    <t>192.168.20.13</t>
  </si>
  <si>
    <t>192.168.20.14</t>
  </si>
  <si>
    <t>192.168.20.15</t>
  </si>
  <si>
    <t>192.168.20.16</t>
  </si>
  <si>
    <t>192.168.20.17</t>
  </si>
  <si>
    <t>192.168.20.18</t>
  </si>
  <si>
    <t>192.168.20.19</t>
  </si>
  <si>
    <t>192.168.20.20</t>
  </si>
  <si>
    <t>192.168.20.21</t>
  </si>
  <si>
    <t>192.168.20.22</t>
  </si>
  <si>
    <t>192.168.20.23</t>
  </si>
  <si>
    <t>192.168.20.24</t>
  </si>
  <si>
    <t>192.168.20.25</t>
  </si>
  <si>
    <t>192.168.20.26</t>
  </si>
  <si>
    <t>192.168.20.27</t>
  </si>
  <si>
    <t>192.168.20.28</t>
  </si>
  <si>
    <t>192.168.20.29</t>
  </si>
  <si>
    <t>192.168.20.30</t>
  </si>
  <si>
    <t>192.168.20.31</t>
  </si>
  <si>
    <t>192.168.20.32</t>
  </si>
  <si>
    <t>192.168.20.33</t>
  </si>
  <si>
    <t>192.168.20.34</t>
  </si>
  <si>
    <t>192.168.20.35</t>
  </si>
  <si>
    <t>192.168.20.36</t>
  </si>
  <si>
    <t>192.168.20.37</t>
  </si>
  <si>
    <t>192.168.20.38</t>
  </si>
  <si>
    <t>192.168.20.39</t>
  </si>
  <si>
    <t>192.168.20.40</t>
  </si>
  <si>
    <t>192.168.20.41</t>
  </si>
  <si>
    <t>192.168.20.42</t>
  </si>
  <si>
    <t>192.168.20.43</t>
  </si>
  <si>
    <t>192.168.20.44</t>
  </si>
  <si>
    <t>192.168.20.45</t>
  </si>
  <si>
    <t>192.168.20.46</t>
  </si>
  <si>
    <t>192.168.20.47</t>
  </si>
  <si>
    <t>192.168.20.48</t>
  </si>
  <si>
    <t>192.168.20.49</t>
  </si>
  <si>
    <t>192.168.20.50</t>
  </si>
  <si>
    <t>192.168.20.51</t>
  </si>
  <si>
    <t>192.168.20.52</t>
  </si>
  <si>
    <t>192.168.20.53</t>
  </si>
  <si>
    <t>192.168.20.54</t>
  </si>
  <si>
    <t>192.168.20.55</t>
  </si>
  <si>
    <t>192.168.20.56</t>
  </si>
  <si>
    <t>192.168.20.57</t>
  </si>
  <si>
    <t>192.168.20.58</t>
  </si>
  <si>
    <t>192.168.20.59</t>
  </si>
  <si>
    <t>192.168.20.60</t>
  </si>
  <si>
    <t>192.168.20.61</t>
  </si>
  <si>
    <t>192.168.20.62</t>
  </si>
  <si>
    <t>192.168.20.63</t>
  </si>
  <si>
    <t>192.168.20.64</t>
  </si>
  <si>
    <t>192.168.20.65</t>
  </si>
  <si>
    <t>192.168.20.66</t>
  </si>
  <si>
    <t>192.168.20.67</t>
  </si>
  <si>
    <t>192.168.20.68</t>
  </si>
  <si>
    <t>192.168.20.69</t>
  </si>
  <si>
    <t>SEBASTIAN CODOCEO</t>
  </si>
  <si>
    <t>192.168.20.70</t>
  </si>
  <si>
    <t>192.168.20.71</t>
  </si>
  <si>
    <t>192.168.20.72</t>
  </si>
  <si>
    <t>192.168.20.73</t>
  </si>
  <si>
    <t>192.168.20.74</t>
  </si>
  <si>
    <t>192.168.20.75</t>
  </si>
  <si>
    <t>192.168.20.76</t>
  </si>
  <si>
    <t>192.168.20.77</t>
  </si>
  <si>
    <t>192.168.20.78</t>
  </si>
  <si>
    <t>192.168.20.79</t>
  </si>
  <si>
    <t>192.168.20.80</t>
  </si>
  <si>
    <t>192.168.20.81</t>
  </si>
  <si>
    <t>192.168.20.82</t>
  </si>
  <si>
    <t>192.168.20.83</t>
  </si>
  <si>
    <t>192.168.20.84</t>
  </si>
  <si>
    <t>192.168.20.85</t>
  </si>
  <si>
    <t>192.168.20.86</t>
  </si>
  <si>
    <t>192.168.20.87</t>
  </si>
  <si>
    <t>192.168.20.88</t>
  </si>
  <si>
    <t>192.168.20.89</t>
  </si>
  <si>
    <t>192.168.20.90</t>
  </si>
  <si>
    <t>192.168.20.91</t>
  </si>
  <si>
    <t>192.168.20.92</t>
  </si>
  <si>
    <t>192.168.20.93</t>
  </si>
  <si>
    <t>192.168.20.94</t>
  </si>
  <si>
    <t>192.168.20.95</t>
  </si>
  <si>
    <t>192.168.20.96</t>
  </si>
  <si>
    <t>192.168.20.97</t>
  </si>
  <si>
    <t>192.168.20.98</t>
  </si>
  <si>
    <t>192.168.20.99</t>
  </si>
  <si>
    <t>192.168.20.100</t>
  </si>
  <si>
    <t>192.168.20.101</t>
  </si>
  <si>
    <t>192.168.20.102</t>
  </si>
  <si>
    <t>192.168.20.103</t>
  </si>
  <si>
    <t>192.168.20.104</t>
  </si>
  <si>
    <t>192.168.20.105</t>
  </si>
  <si>
    <t>192.168.20.106</t>
  </si>
  <si>
    <t>192.168.20.107</t>
  </si>
  <si>
    <t>192.168.20.108</t>
  </si>
  <si>
    <t>192.168.20.109</t>
  </si>
  <si>
    <t>192.168.20.110</t>
  </si>
  <si>
    <t>192.168.20.111</t>
  </si>
  <si>
    <t>192.168.20.112</t>
  </si>
  <si>
    <t>192.168.20.113</t>
  </si>
  <si>
    <t>192.168.20.114</t>
  </si>
  <si>
    <t>192.168.20.115</t>
  </si>
  <si>
    <t>192.168.20.116</t>
  </si>
  <si>
    <t>192.168.20.117</t>
  </si>
  <si>
    <t>192.168.20.118</t>
  </si>
  <si>
    <t>192.168.20.119</t>
  </si>
  <si>
    <t>192.168.20.120</t>
  </si>
  <si>
    <t>192.168.20.121</t>
  </si>
  <si>
    <t>192.168.20.122</t>
  </si>
  <si>
    <t>192.168.20.123</t>
  </si>
  <si>
    <t>192.168.20.124</t>
  </si>
  <si>
    <t>192.168.20.125</t>
  </si>
  <si>
    <t>192.168.20.126</t>
  </si>
  <si>
    <t>192.168.20.127</t>
  </si>
  <si>
    <t>192.168.20.128</t>
  </si>
  <si>
    <t>192.168.20.129</t>
  </si>
  <si>
    <t>192.168.20.130</t>
  </si>
  <si>
    <t>192.168.20.131</t>
  </si>
  <si>
    <t>192.168.20.132</t>
  </si>
  <si>
    <t>192.168.20.133</t>
  </si>
  <si>
    <t>192.168.20.134</t>
  </si>
  <si>
    <t>192.168.20.135</t>
  </si>
  <si>
    <t>192.168.20.136</t>
  </si>
  <si>
    <t>192.168.20.137</t>
  </si>
  <si>
    <t>192.168.20.138</t>
  </si>
  <si>
    <t>192.168.20.139</t>
  </si>
  <si>
    <t>192.168.20.140</t>
  </si>
  <si>
    <t>192.168.20.141</t>
  </si>
  <si>
    <t>192.168.20.142</t>
  </si>
  <si>
    <t>192.168.20.143</t>
  </si>
  <si>
    <t>192.168.20.144</t>
  </si>
  <si>
    <t>192.168.20.145</t>
  </si>
  <si>
    <t>192.168.20.146</t>
  </si>
  <si>
    <t>192.168.20.147</t>
  </si>
  <si>
    <t>192.168.20.148</t>
  </si>
  <si>
    <t>192.168.20.149</t>
  </si>
  <si>
    <t>192.168.20.150</t>
  </si>
  <si>
    <t>192.168.20.151</t>
  </si>
  <si>
    <t>192.168.20.152</t>
  </si>
  <si>
    <t>192.168.20.153</t>
  </si>
  <si>
    <t>192.168.20.154</t>
  </si>
  <si>
    <t>192.168.20.155</t>
  </si>
  <si>
    <t>192.168.20.156</t>
  </si>
  <si>
    <t>192.168.20.157</t>
  </si>
  <si>
    <t>192.168.20.158</t>
  </si>
  <si>
    <t>192.168.20.159</t>
  </si>
  <si>
    <t>192.168.20.160</t>
  </si>
  <si>
    <t>192.168.20.161</t>
  </si>
  <si>
    <t>192.168.20.162</t>
  </si>
  <si>
    <t>192.168.20.163</t>
  </si>
  <si>
    <t>192.168.20.164</t>
  </si>
  <si>
    <t>192.168.20.165</t>
  </si>
  <si>
    <t>192.168.20.166</t>
  </si>
  <si>
    <t>192.168.20.167</t>
  </si>
  <si>
    <t>192.168.20.168</t>
  </si>
  <si>
    <t>192.168.20.169</t>
  </si>
  <si>
    <t>192.168.20.170</t>
  </si>
  <si>
    <t>192.168.20.171</t>
  </si>
  <si>
    <t>192.168.20.172</t>
  </si>
  <si>
    <t>192.168.20.173</t>
  </si>
  <si>
    <t>192.168.20.174</t>
  </si>
  <si>
    <t>192.168.20.175</t>
  </si>
  <si>
    <t>192.168.20.176</t>
  </si>
  <si>
    <t>192.168.20.177</t>
  </si>
  <si>
    <t>192.168.20.178</t>
  </si>
  <si>
    <t>192.168.20.179</t>
  </si>
  <si>
    <t>192.168.20.180</t>
  </si>
  <si>
    <t>192.168.20.181</t>
  </si>
  <si>
    <t>192.168.20.182</t>
  </si>
  <si>
    <t>192.168.20.183</t>
  </si>
  <si>
    <t>192.168.20.184</t>
  </si>
  <si>
    <t>192.168.20.185</t>
  </si>
  <si>
    <t>192.168.20.186</t>
  </si>
  <si>
    <t>192.168.20.187</t>
  </si>
  <si>
    <t>192.168.20.188</t>
  </si>
  <si>
    <t>192.168.20.189</t>
  </si>
  <si>
    <t>192.168.20.190</t>
  </si>
  <si>
    <t>192.168.20.191</t>
  </si>
  <si>
    <t>192.168.20.192</t>
  </si>
  <si>
    <t>192.168.20.193</t>
  </si>
  <si>
    <t>192.168.20.194</t>
  </si>
  <si>
    <t>192.168.20.195</t>
  </si>
  <si>
    <t>192.168.20.196</t>
  </si>
  <si>
    <t>192.168.20.197</t>
  </si>
  <si>
    <t>192.168.20.198</t>
  </si>
  <si>
    <t>192.168.20.199</t>
  </si>
  <si>
    <t>192.168.20.200</t>
  </si>
  <si>
    <t>EXCLUDED ADDRESS PARA DIRECCIÓN TÉCNICA</t>
  </si>
  <si>
    <t>192.168.20.201</t>
  </si>
  <si>
    <t>192.168.20.202</t>
  </si>
  <si>
    <t>IMPRESORA ZEBRA</t>
  </si>
  <si>
    <t>192.168.20.203</t>
  </si>
  <si>
    <t>192.168.20.204</t>
  </si>
  <si>
    <t>192.168.20.205</t>
  </si>
  <si>
    <t>192.168.20.206</t>
  </si>
  <si>
    <t>192.168.20.207</t>
  </si>
  <si>
    <t>192.168.20.208</t>
  </si>
  <si>
    <t>192.168.20.209</t>
  </si>
  <si>
    <t>192.168.20.210</t>
  </si>
  <si>
    <t>NUC KPI MEZZANINA</t>
  </si>
  <si>
    <t>192.168.20.211</t>
  </si>
  <si>
    <t>192.168.20.212</t>
  </si>
  <si>
    <t>192.168.20.213</t>
  </si>
  <si>
    <t>192.168.20.214</t>
  </si>
  <si>
    <t>192.168.20.215</t>
  </si>
  <si>
    <t>192.168.20.216</t>
  </si>
  <si>
    <t>192.168.20.217</t>
  </si>
  <si>
    <t>192.168.20.218</t>
  </si>
  <si>
    <t>192.168.20.219</t>
  </si>
  <si>
    <t>192.168.20.220</t>
  </si>
  <si>
    <t>192.168.20.221</t>
  </si>
  <si>
    <t>192.168.20.222</t>
  </si>
  <si>
    <t>192.168.20.223</t>
  </si>
  <si>
    <t>192.168.20.224</t>
  </si>
  <si>
    <t>192.168.20.225</t>
  </si>
  <si>
    <t>192.168.20.226</t>
  </si>
  <si>
    <t>192.168.20.227</t>
  </si>
  <si>
    <t>192.168.20.228</t>
  </si>
  <si>
    <t>192.168.20.229</t>
  </si>
  <si>
    <t>192.168.20.230</t>
  </si>
  <si>
    <t>192.168.20.231</t>
  </si>
  <si>
    <t>192.168.20.232</t>
  </si>
  <si>
    <t>192.168.20.233</t>
  </si>
  <si>
    <t>192.168.20.234</t>
  </si>
  <si>
    <t>192.168.20.235</t>
  </si>
  <si>
    <t>192.168.20.236</t>
  </si>
  <si>
    <t>192.168.20.237</t>
  </si>
  <si>
    <t>192.168.20.238</t>
  </si>
  <si>
    <t>192.168.20.239</t>
  </si>
  <si>
    <t>192.168.20.240</t>
  </si>
  <si>
    <t>192.168.20.241</t>
  </si>
  <si>
    <t>192.168.20.242</t>
  </si>
  <si>
    <t>192.168.20.243</t>
  </si>
  <si>
    <t>192.168.20.244</t>
  </si>
  <si>
    <t>192.168.20.245</t>
  </si>
  <si>
    <t>192.168.20.246</t>
  </si>
  <si>
    <t>192.168.20.247</t>
  </si>
  <si>
    <t>192.168.20.248</t>
  </si>
  <si>
    <t>192.168.20.249</t>
  </si>
  <si>
    <t>192.168.20.250</t>
  </si>
  <si>
    <t>192.168.20.251</t>
  </si>
  <si>
    <t>192.168.20.252</t>
  </si>
  <si>
    <t>192.168.20.253</t>
  </si>
  <si>
    <t>192.168.20.254</t>
  </si>
  <si>
    <t>192.168.20.255</t>
  </si>
  <si>
    <t>192.168.90.1</t>
  </si>
  <si>
    <t>192.168.90.2</t>
  </si>
  <si>
    <t>192.168.90.3</t>
  </si>
  <si>
    <t>192.168.90.4</t>
  </si>
  <si>
    <t>192.168.90.5</t>
  </si>
  <si>
    <t>192.168.90.6</t>
  </si>
  <si>
    <t>192.168.90.7</t>
  </si>
  <si>
    <t>192.168.90.8</t>
  </si>
  <si>
    <t>192.168.90.9</t>
  </si>
  <si>
    <t>192.168.90.10</t>
  </si>
  <si>
    <t>192.168.90.11</t>
  </si>
  <si>
    <t>192.168.90.12</t>
  </si>
  <si>
    <t>192.168.90.13</t>
  </si>
  <si>
    <t>192.168.90.14</t>
  </si>
  <si>
    <t>192.168.90.15</t>
  </si>
  <si>
    <t>192.168.90.16</t>
  </si>
  <si>
    <t>192.168.90.17</t>
  </si>
  <si>
    <t>192.168.90.18</t>
  </si>
  <si>
    <t>192.168.90.19</t>
  </si>
  <si>
    <t>192.168.90.20</t>
  </si>
  <si>
    <t>192.168.90.21</t>
  </si>
  <si>
    <t>192.168.90.22</t>
  </si>
  <si>
    <t>192.168.90.23</t>
  </si>
  <si>
    <t>192.168.90.24</t>
  </si>
  <si>
    <t>192.168.90.25</t>
  </si>
  <si>
    <t>192.168.90.26</t>
  </si>
  <si>
    <t>192.168.90.27</t>
  </si>
  <si>
    <t>192.168.90.28</t>
  </si>
  <si>
    <t>192.168.90.29</t>
  </si>
  <si>
    <t>192.168.90.30</t>
  </si>
  <si>
    <t>192.168.90.31</t>
  </si>
  <si>
    <t>192.168.90.32</t>
  </si>
  <si>
    <t>192.168.90.33</t>
  </si>
  <si>
    <t>192.168.90.34</t>
  </si>
  <si>
    <t>192.168.90.35</t>
  </si>
  <si>
    <t>192.168.90.36</t>
  </si>
  <si>
    <t>192.168.90.37</t>
  </si>
  <si>
    <t>192.168.90.38</t>
  </si>
  <si>
    <t>192.168.90.39</t>
  </si>
  <si>
    <t>192.168.90.40</t>
  </si>
  <si>
    <t>192.168.90.41</t>
  </si>
  <si>
    <t>192.168.90.42</t>
  </si>
  <si>
    <t>192.168.90.43</t>
  </si>
  <si>
    <t>192.168.90.44</t>
  </si>
  <si>
    <t>192.168.90.45</t>
  </si>
  <si>
    <t>192.168.90.46</t>
  </si>
  <si>
    <t>192.168.90.47</t>
  </si>
  <si>
    <t>192.168.90.48</t>
  </si>
  <si>
    <t>192.168.90.49</t>
  </si>
  <si>
    <t>192.168.90.50</t>
  </si>
  <si>
    <t>192.168.90.51</t>
  </si>
  <si>
    <t>192.168.90.52</t>
  </si>
  <si>
    <t>192.168.90.53</t>
  </si>
  <si>
    <t>192.168.90.54</t>
  </si>
  <si>
    <t>192.168.90.55</t>
  </si>
  <si>
    <t>192.168.90.56</t>
  </si>
  <si>
    <t>192.168.90.57</t>
  </si>
  <si>
    <t>192.168.90.58</t>
  </si>
  <si>
    <t>192.168.90.59</t>
  </si>
  <si>
    <t>192.168.90.60</t>
  </si>
  <si>
    <t>192.168.90.61</t>
  </si>
  <si>
    <t>192.168.90.62</t>
  </si>
  <si>
    <t>192.168.90.63</t>
  </si>
  <si>
    <t>192.168.90.64</t>
  </si>
  <si>
    <t>192.168.90.65</t>
  </si>
  <si>
    <t>192.168.90.66</t>
  </si>
  <si>
    <t>192.168.90.67</t>
  </si>
  <si>
    <t>192.168.90.68</t>
  </si>
  <si>
    <t>192.168.90.69</t>
  </si>
  <si>
    <t>192.168.90.70</t>
  </si>
  <si>
    <t>192.168.90.71</t>
  </si>
  <si>
    <t>192.168.90.72</t>
  </si>
  <si>
    <t>192.168.90.73</t>
  </si>
  <si>
    <t>192.168.90.74</t>
  </si>
  <si>
    <t>192.168.90.75</t>
  </si>
  <si>
    <t>192.168.90.76</t>
  </si>
  <si>
    <t>192.168.90.77</t>
  </si>
  <si>
    <t>192.168.90.78</t>
  </si>
  <si>
    <t>192.168.90.79</t>
  </si>
  <si>
    <t>192.168.90.80</t>
  </si>
  <si>
    <t>192.168.90.81</t>
  </si>
  <si>
    <t>192.168.90.82</t>
  </si>
  <si>
    <t>192.168.90.83</t>
  </si>
  <si>
    <t>192.168.90.84</t>
  </si>
  <si>
    <t>192.168.90.85</t>
  </si>
  <si>
    <t>192.168.90.86</t>
  </si>
  <si>
    <t>192.168.90.87</t>
  </si>
  <si>
    <t>192.168.90.88</t>
  </si>
  <si>
    <t>192.168.90.89</t>
  </si>
  <si>
    <t>192.168.90.90</t>
  </si>
  <si>
    <t>192.168.90.91</t>
  </si>
  <si>
    <t>192.168.90.92</t>
  </si>
  <si>
    <t>192.168.90.93</t>
  </si>
  <si>
    <t>192.168.90.94</t>
  </si>
  <si>
    <t>192.168.90.95</t>
  </si>
  <si>
    <t>192.168.90.96</t>
  </si>
  <si>
    <t>192.168.90.97</t>
  </si>
  <si>
    <t>192.168.90.98</t>
  </si>
  <si>
    <t>192.168.90.99</t>
  </si>
  <si>
    <t>192.168.90.100</t>
  </si>
  <si>
    <t>192.168.90.101</t>
  </si>
  <si>
    <t>192.168.90.102</t>
  </si>
  <si>
    <t>192.168.90.103</t>
  </si>
  <si>
    <t>192.168.90.104</t>
  </si>
  <si>
    <t>192.168.90.105</t>
  </si>
  <si>
    <t>192.168.90.106</t>
  </si>
  <si>
    <t>192.168.90.107</t>
  </si>
  <si>
    <t>192.168.90.108</t>
  </si>
  <si>
    <t>192.168.90.109</t>
  </si>
  <si>
    <t>192.168.90.110</t>
  </si>
  <si>
    <t>192.168.90.111</t>
  </si>
  <si>
    <t>192.168.90.112</t>
  </si>
  <si>
    <t>192.168.90.113</t>
  </si>
  <si>
    <t>192.168.90.114</t>
  </si>
  <si>
    <t>192.168.90.115</t>
  </si>
  <si>
    <t>192.168.90.116</t>
  </si>
  <si>
    <t>192.168.90.117</t>
  </si>
  <si>
    <t>192.168.90.118</t>
  </si>
  <si>
    <t>192.168.90.119</t>
  </si>
  <si>
    <t>192.168.90.120</t>
  </si>
  <si>
    <t>192.168.90.121</t>
  </si>
  <si>
    <t>192.168.90.122</t>
  </si>
  <si>
    <t>192.168.90.123</t>
  </si>
  <si>
    <t>192.168.90.124</t>
  </si>
  <si>
    <t>192.168.90.125</t>
  </si>
  <si>
    <t>192.168.90.126</t>
  </si>
  <si>
    <t>192.168.90.127</t>
  </si>
  <si>
    <t>192.168.90.128</t>
  </si>
  <si>
    <t>192.168.90.129</t>
  </si>
  <si>
    <t>192.168.90.130</t>
  </si>
  <si>
    <t>192.168.90.131</t>
  </si>
  <si>
    <t>192.168.90.132</t>
  </si>
  <si>
    <t>192.168.90.133</t>
  </si>
  <si>
    <t>192.168.90.134</t>
  </si>
  <si>
    <t>192.168.90.135</t>
  </si>
  <si>
    <t>192.168.90.136</t>
  </si>
  <si>
    <t>192.168.90.137</t>
  </si>
  <si>
    <t>192.168.90.138</t>
  </si>
  <si>
    <t>192.168.90.139</t>
  </si>
  <si>
    <t>192.168.90.140</t>
  </si>
  <si>
    <t>192.168.90.141</t>
  </si>
  <si>
    <t>192.168.90.142</t>
  </si>
  <si>
    <t>192.168.90.143</t>
  </si>
  <si>
    <t>192.168.90.144</t>
  </si>
  <si>
    <t>192.168.90.145</t>
  </si>
  <si>
    <t>192.168.90.146</t>
  </si>
  <si>
    <t>192.168.90.147</t>
  </si>
  <si>
    <t>192.168.90.148</t>
  </si>
  <si>
    <t>192.168.90.149</t>
  </si>
  <si>
    <t>192.168.90.150</t>
  </si>
  <si>
    <t>192.168.90.151</t>
  </si>
  <si>
    <t>192.168.90.152</t>
  </si>
  <si>
    <t>192.168.90.153</t>
  </si>
  <si>
    <t>192.168.90.154</t>
  </si>
  <si>
    <t>192.168.90.155</t>
  </si>
  <si>
    <t>192.168.90.156</t>
  </si>
  <si>
    <t>192.168.90.157</t>
  </si>
  <si>
    <t>192.168.90.158</t>
  </si>
  <si>
    <t>192.168.90.159</t>
  </si>
  <si>
    <t>192.168.90.160</t>
  </si>
  <si>
    <t>192.168.90.161</t>
  </si>
  <si>
    <t>192.168.90.162</t>
  </si>
  <si>
    <t>192.168.90.163</t>
  </si>
  <si>
    <t>192.168.90.164</t>
  </si>
  <si>
    <t>192.168.90.165</t>
  </si>
  <si>
    <t>192.168.90.166</t>
  </si>
  <si>
    <t>192.168.90.167</t>
  </si>
  <si>
    <t>192.168.90.168</t>
  </si>
  <si>
    <t>192.168.90.169</t>
  </si>
  <si>
    <t>192.168.90.170</t>
  </si>
  <si>
    <t>192.168.90.171</t>
  </si>
  <si>
    <t>192.168.90.172</t>
  </si>
  <si>
    <t>192.168.90.173</t>
  </si>
  <si>
    <t>192.168.90.174</t>
  </si>
  <si>
    <t>192.168.90.175</t>
  </si>
  <si>
    <t>192.168.90.176</t>
  </si>
  <si>
    <t>192.168.90.177</t>
  </si>
  <si>
    <t>192.168.90.178</t>
  </si>
  <si>
    <t>192.168.90.179</t>
  </si>
  <si>
    <t>192.168.90.180</t>
  </si>
  <si>
    <t>192.168.90.181</t>
  </si>
  <si>
    <t>192.168.90.182</t>
  </si>
  <si>
    <t>192.168.90.183</t>
  </si>
  <si>
    <t>192.168.90.184</t>
  </si>
  <si>
    <t>192.168.90.185</t>
  </si>
  <si>
    <t>192.168.90.186</t>
  </si>
  <si>
    <t>192.168.90.187</t>
  </si>
  <si>
    <t>192.168.90.188</t>
  </si>
  <si>
    <t>192.168.90.189</t>
  </si>
  <si>
    <t>192.168.90.190</t>
  </si>
  <si>
    <t>192.168.90.191</t>
  </si>
  <si>
    <t>192.168.90.192</t>
  </si>
  <si>
    <t>192.168.90.193</t>
  </si>
  <si>
    <t>192.168.90.194</t>
  </si>
  <si>
    <t>192.168.90.195</t>
  </si>
  <si>
    <t>192.168.90.196</t>
  </si>
  <si>
    <t>192.168.90.197</t>
  </si>
  <si>
    <t>192.168.90.198</t>
  </si>
  <si>
    <t>192.168.90.199</t>
  </si>
  <si>
    <t>192.168.90.200</t>
  </si>
  <si>
    <t>CONTROL DE ACCESO 1</t>
  </si>
  <si>
    <t>192.168.90.201</t>
  </si>
  <si>
    <t>CONTROL DE ACCESO 2</t>
  </si>
  <si>
    <t>192.168.90.202</t>
  </si>
  <si>
    <t>CONTROL DE ACCESO TI 46</t>
  </si>
  <si>
    <t>192.168.90.203</t>
  </si>
  <si>
    <t>192.168.90.204</t>
  </si>
  <si>
    <t>192.168.90.205</t>
  </si>
  <si>
    <t>192.168.90.206</t>
  </si>
  <si>
    <t>192.168.90.207</t>
  </si>
  <si>
    <t>192.168.90.208</t>
  </si>
  <si>
    <t>192.168.90.209</t>
  </si>
  <si>
    <t>192.168.90.210</t>
  </si>
  <si>
    <t>192.168.90.211</t>
  </si>
  <si>
    <t>192.168.90.212</t>
  </si>
  <si>
    <t>192.168.90.213</t>
  </si>
  <si>
    <t>192.168.90.214</t>
  </si>
  <si>
    <t>192.168.90.215</t>
  </si>
  <si>
    <t>192.168.90.216</t>
  </si>
  <si>
    <t>192.168.90.217</t>
  </si>
  <si>
    <t>192.168.90.218</t>
  </si>
  <si>
    <t>192.168.90.219</t>
  </si>
  <si>
    <t>192.168.90.220</t>
  </si>
  <si>
    <t>192.168.90.221</t>
  </si>
  <si>
    <t>192.168.90.222</t>
  </si>
  <si>
    <t>192.168.90.223</t>
  </si>
  <si>
    <t>192.168.90.224</t>
  </si>
  <si>
    <t>192.168.90.225</t>
  </si>
  <si>
    <t>192.168.90.226</t>
  </si>
  <si>
    <t>192.168.90.227</t>
  </si>
  <si>
    <t>192.168.90.228</t>
  </si>
  <si>
    <t>192.168.90.229</t>
  </si>
  <si>
    <t>192.168.90.230</t>
  </si>
  <si>
    <t>192.168.90.231</t>
  </si>
  <si>
    <t>192.168.90.232</t>
  </si>
  <si>
    <t>192.168.90.233</t>
  </si>
  <si>
    <t>192.168.90.234</t>
  </si>
  <si>
    <t>192.168.90.235</t>
  </si>
  <si>
    <t>192.168.90.236</t>
  </si>
  <si>
    <t>192.168.90.237</t>
  </si>
  <si>
    <t>192.168.90.238</t>
  </si>
  <si>
    <t>192.168.90.239</t>
  </si>
  <si>
    <t>192.168.90.240</t>
  </si>
  <si>
    <t>192.168.90.241</t>
  </si>
  <si>
    <t>192.168.90.242</t>
  </si>
  <si>
    <t>192.168.90.243</t>
  </si>
  <si>
    <t>192.168.90.244</t>
  </si>
  <si>
    <t>192.168.90.245</t>
  </si>
  <si>
    <t>192.168.90.246</t>
  </si>
  <si>
    <t>192.168.90.247</t>
  </si>
  <si>
    <t>192.168.90.248</t>
  </si>
  <si>
    <t>192.168.90.249</t>
  </si>
  <si>
    <t>192.168.90.250</t>
  </si>
  <si>
    <t>192.168.90.251</t>
  </si>
  <si>
    <t>192.168.90.252</t>
  </si>
  <si>
    <t>192.168.90.253</t>
  </si>
  <si>
    <t>192.168.90.254</t>
  </si>
  <si>
    <t>192.168.90.255</t>
  </si>
  <si>
    <t>SCARLETT CARRASCO</t>
  </si>
  <si>
    <t>NESTOR PULIDO</t>
  </si>
  <si>
    <t>RICHARD ANDRADE</t>
  </si>
  <si>
    <t>PAMELA MARTINEZ</t>
  </si>
  <si>
    <t>ROXANA CHILLON</t>
  </si>
  <si>
    <t>CAROLINA VIDAL</t>
  </si>
  <si>
    <t>EXCEDENTES Y FALTANTES 8</t>
  </si>
  <si>
    <t>JOSE LLANCA</t>
  </si>
  <si>
    <t>SILVIA GARCIA</t>
  </si>
  <si>
    <t>VERONICA REYES</t>
  </si>
  <si>
    <t>KAREN URIBE</t>
  </si>
  <si>
    <t>MATIAS POVEDA</t>
  </si>
  <si>
    <t xml:space="preserve">JAVIER RAMÍREZ </t>
  </si>
  <si>
    <t>DIEGO ALMONACID</t>
  </si>
  <si>
    <t>LINUX IN</t>
  </si>
  <si>
    <t>ILO NEXUS 2</t>
  </si>
  <si>
    <t>PAOLA LOPEZ</t>
  </si>
  <si>
    <t>IMPRESORA VENTAS</t>
  </si>
  <si>
    <t>IMPRESORA RICOH PREEMBARQUE</t>
  </si>
  <si>
    <t>IMPRESORA PASILLLO ADM</t>
  </si>
  <si>
    <t>IMPRESORA RECP ISP 1</t>
  </si>
  <si>
    <t>IMPRESORA RECP ISP 2</t>
  </si>
  <si>
    <t>IMPRESORA ARRIENDOS</t>
  </si>
  <si>
    <t>IMPRESORA BROTHER DT</t>
  </si>
  <si>
    <t>IMPRESORA ROCH ADM MOD37</t>
  </si>
  <si>
    <t>IMPRESORA RICOH OFICINA</t>
  </si>
  <si>
    <t>IMPRESORA RICOH RRHH 2</t>
  </si>
  <si>
    <t>NEXUS HYPER-V</t>
  </si>
  <si>
    <t>SERVIDOR NEXUS 2</t>
  </si>
  <si>
    <t>PABLO MARAMBIO</t>
  </si>
  <si>
    <t>JURIDICO</t>
  </si>
  <si>
    <t>SCAN SERVER</t>
  </si>
  <si>
    <t>SIMICL-BDCUB</t>
  </si>
  <si>
    <t>FILE SERVER OTROS</t>
  </si>
  <si>
    <t>FILE SERVER</t>
  </si>
  <si>
    <t>DASHBOARD DE VENTAS</t>
  </si>
  <si>
    <t>BD DASHBOARD DE VENTAS</t>
  </si>
  <si>
    <t>CONTROL ACCESO</t>
  </si>
  <si>
    <t>CCTV CHILE Y CONTROL ACCESO</t>
  </si>
  <si>
    <t>NUC CCTV ANGEL TRAIPE</t>
  </si>
  <si>
    <t>DAGOBERTO CCTV</t>
  </si>
  <si>
    <t>CONTRALORIA</t>
  </si>
  <si>
    <t>ADQUISICIONES</t>
  </si>
  <si>
    <t>PREVENCION DE RIESGOS</t>
  </si>
  <si>
    <t>IMPRESORA ADQUISICIONES</t>
  </si>
  <si>
    <t>CARLA URIBE</t>
  </si>
  <si>
    <t>RICARDO GARCÍA</t>
  </si>
  <si>
    <t>SILVIA GARCÍA</t>
  </si>
  <si>
    <t>PENTESTING</t>
  </si>
  <si>
    <t xml:space="preserve">DISTRIBUCION </t>
  </si>
  <si>
    <t>TEMPORAL DANIELA VEGA</t>
  </si>
  <si>
    <t>ARIANA MUÑOZ</t>
  </si>
  <si>
    <t xml:space="preserve">CONTABILIDAD </t>
  </si>
  <si>
    <t>PABLO COLLARTE</t>
  </si>
  <si>
    <t>CARINA PALACIO</t>
  </si>
  <si>
    <t>INGRID GOMEZ</t>
  </si>
  <si>
    <t>CONSTANZA ACEVEDO</t>
  </si>
  <si>
    <t>LUIS OLARTE</t>
  </si>
  <si>
    <t>IMPRESORA ZEBRA PORTATILES</t>
  </si>
  <si>
    <t>IMPRESORA RECEP PROVEEDORES SEREMI</t>
  </si>
  <si>
    <t>CLAUDIO DAVILA</t>
  </si>
  <si>
    <t>172.25.1.195</t>
  </si>
  <si>
    <t>MOISES RIQUELME</t>
  </si>
  <si>
    <t>SINERGI GONZALEZ</t>
  </si>
  <si>
    <t>ANDRES RUIZ DE GAMBOA</t>
  </si>
  <si>
    <t>INTELIGENCIA DE NEGOCIOS</t>
  </si>
  <si>
    <t>LEONARDO GALLARDO</t>
  </si>
  <si>
    <t>EVELYN FREDES</t>
  </si>
  <si>
    <t>DENISE BUSTOS</t>
  </si>
  <si>
    <t>DANIEL ALBARRAN</t>
  </si>
  <si>
    <t>PICKING SEREMI 3</t>
  </si>
  <si>
    <t>RELOJ CONTROL ZTK ACCESO PRINCIPAL</t>
  </si>
  <si>
    <t>DIANA GALARCE</t>
  </si>
  <si>
    <t>CONTROL DE ACCESO SITE BOD 46</t>
  </si>
  <si>
    <t>CONTROL DE ACCESO BOD 37</t>
  </si>
  <si>
    <t>KRISHNA VELIZ</t>
  </si>
  <si>
    <t>JAVIERA RUZ</t>
  </si>
  <si>
    <t>BRYAN CERDA</t>
  </si>
  <si>
    <t>Pruebas VGA</t>
  </si>
  <si>
    <t>FELIPE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</si>
</sst>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2" fillId="4" borderId="11" xfId="0" applyFont="1" applyFill="1" applyBorder="1"/>
    <xf numFmtId="0" fontId="2" fillId="4" borderId="12" xfId="0" applyFont="1" applyFill="1" applyBorder="1"/>
    <xf numFmtId="9" fontId="2" fillId="4" borderId="13" xfId="0" applyNumberFormat="1" applyFont="1" applyFill="1" applyBorder="1"/>
    <xf numFmtId="10" fontId="0" fillId="0" borderId="3" xfId="1" applyNumberFormat="1" applyFont="1" applyBorder="1"/>
    <xf numFmtId="0" fontId="3" fillId="2" borderId="2" xfId="0" applyFont="1" applyFill="1" applyBorder="1"/>
    <xf numFmtId="0" fontId="6" fillId="7" borderId="2" xfId="0" applyFont="1" applyFill="1" applyBorder="1" applyAlignment="1">
      <alignment vertical="center"/>
    </xf>
    <xf numFmtId="0" fontId="6" fillId="6" borderId="14" xfId="0" applyFont="1" applyFill="1" applyBorder="1" applyAlignment="1">
      <alignment vertical="center"/>
    </xf>
    <xf numFmtId="0" fontId="0" fillId="0" borderId="4" xfId="0" applyBorder="1"/>
    <xf numFmtId="10" fontId="0" fillId="0" borderId="5" xfId="1" applyNumberFormat="1" applyFont="1" applyBorder="1"/>
    <xf numFmtId="0" fontId="5" fillId="8" borderId="8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2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5" fillId="6" borderId="8" xfId="0" applyFont="1" applyFill="1" applyBorder="1" applyAlignment="1">
      <alignment horizontal="left" vertical="center"/>
    </xf>
    <xf numFmtId="0" fontId="8" fillId="0" borderId="21" xfId="0" applyFont="1" applyBorder="1" applyAlignment="1">
      <alignment vertical="center"/>
    </xf>
    <xf numFmtId="0" fontId="5" fillId="9" borderId="8" xfId="0" applyFont="1" applyFill="1" applyBorder="1" applyAlignment="1">
      <alignment vertical="center"/>
    </xf>
    <xf numFmtId="0" fontId="5" fillId="9" borderId="21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21" xfId="0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0" fontId="5" fillId="8" borderId="2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3" xfId="0" applyBorder="1"/>
    <xf numFmtId="0" fontId="5" fillId="0" borderId="3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2" borderId="35" xfId="0" applyFont="1" applyFill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2" borderId="36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4" fillId="5" borderId="37" xfId="0" applyFont="1" applyFill="1" applyBorder="1" applyAlignment="1">
      <alignment horizontal="center" vertical="center"/>
    </xf>
    <xf numFmtId="0" fontId="0" fillId="0" borderId="8" xfId="0" applyBorder="1"/>
    <xf numFmtId="0" fontId="5" fillId="12" borderId="8" xfId="0" applyFont="1" applyFill="1" applyBorder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2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2" fillId="0" borderId="3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43"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172.23.1.X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172.23.1.X</a:t>
          </a:r>
        </a:p>
      </cx:txPr>
    </cx:title>
    <cx:plotArea>
      <cx:plotAreaRegion>
        <cx:series layoutId="sunburst" hidden="1" uniqueId="{E813665A-C7A9-4012-A653-5785D85B655F}" formatIdx="0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172.25.1.X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172.25.1.X</a:t>
          </a:r>
        </a:p>
      </cx:txPr>
    </cx:title>
    <cx:plotArea>
      <cx:plotAreaRegion>
        <cx:series layoutId="sunburst" uniqueId="{E813665A-C7A9-4012-A653-5785D85B655F}" formatIdx="0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192.168.10.X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192.168.10.X</a:t>
          </a:r>
        </a:p>
      </cx:txPr>
    </cx:title>
    <cx:plotArea>
      <cx:plotAreaRegion>
        <cx:series layoutId="sunburst" uniqueId="{E813665A-C7A9-4012-A653-5785D85B655F}" formatIdx="0"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title pos="t" align="ctr" overlay="0">
      <cx:tx>
        <cx:txData>
          <cx:v>192.168.20.X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192.168.20.X</a:t>
          </a:r>
        </a:p>
      </cx:txPr>
    </cx:title>
    <cx:plotArea>
      <cx:plotAreaRegion>
        <cx:series layoutId="sunburst" uniqueId="{E813665A-C7A9-4012-A653-5785D85B655F}" formatIdx="0"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_xlchart.v1.9</cx:f>
      </cx:numDim>
    </cx:data>
  </cx:chartData>
  <cx:chart>
    <cx:title pos="t" align="ctr" overlay="0">
      <cx:tx>
        <cx:txData>
          <cx:v>192.168.90.X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192.168.90.X</a:t>
          </a:r>
        </a:p>
      </cx:txPr>
    </cx:title>
    <cx:plotArea>
      <cx:plotAreaRegion>
        <cx:series layoutId="sunburst" uniqueId="{E813665A-C7A9-4012-A653-5785D85B655F}" formatIdx="0"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1688709</xdr:colOff>
      <xdr:row>17</xdr:row>
      <xdr:rowOff>344952</xdr:rowOff>
    </xdr:from>
    <xdr:to>
      <xdr:col>10</xdr:col>
      <xdr:colOff>31945</xdr:colOff>
      <xdr:row>31</xdr:row>
      <xdr:rowOff>344073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4">
              <a:extLst>
                <a:ext uri="{FF2B5EF4-FFF2-40B4-BE49-F238E27FC236}">
                  <a16:creationId xmlns:a16="http://schemas.microsoft.com/office/drawing/2014/main" id="{CC390C1E-C250-7E36-C018-85714FC74E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4569" y="3476772"/>
              <a:ext cx="4279216" cy="25670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1679184</xdr:colOff>
      <xdr:row>18</xdr:row>
      <xdr:rowOff>135402</xdr:rowOff>
    </xdr:from>
    <xdr:to>
      <xdr:col>10</xdr:col>
      <xdr:colOff>30040</xdr:colOff>
      <xdr:row>32</xdr:row>
      <xdr:rowOff>130713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4">
              <a:extLst>
                <a:ext uri="{FF2B5EF4-FFF2-40B4-BE49-F238E27FC236}">
                  <a16:creationId xmlns:a16="http://schemas.microsoft.com/office/drawing/2014/main" id="{238AE090-9A16-4593-ACBF-3C86324AF7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24024" y="3549162"/>
              <a:ext cx="4233496" cy="26623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1497330</xdr:colOff>
      <xdr:row>17</xdr:row>
      <xdr:rowOff>26670</xdr:rowOff>
    </xdr:from>
    <xdr:to>
      <xdr:col>9</xdr:col>
      <xdr:colOff>688291</xdr:colOff>
      <xdr:row>31</xdr:row>
      <xdr:rowOff>18171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4">
              <a:extLst>
                <a:ext uri="{FF2B5EF4-FFF2-40B4-BE49-F238E27FC236}">
                  <a16:creationId xmlns:a16="http://schemas.microsoft.com/office/drawing/2014/main" id="{35892CAC-0BE8-433B-9C94-77A17680C2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04910" y="3265170"/>
              <a:ext cx="4288741" cy="2658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1497330</xdr:colOff>
      <xdr:row>17</xdr:row>
      <xdr:rowOff>26670</xdr:rowOff>
    </xdr:from>
    <xdr:to>
      <xdr:col>9</xdr:col>
      <xdr:colOff>688291</xdr:colOff>
      <xdr:row>31</xdr:row>
      <xdr:rowOff>18171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4">
              <a:extLst>
                <a:ext uri="{FF2B5EF4-FFF2-40B4-BE49-F238E27FC236}">
                  <a16:creationId xmlns:a16="http://schemas.microsoft.com/office/drawing/2014/main" id="{D666D04D-DBF9-46E4-8D3A-C73D63E0EE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04910" y="3265170"/>
              <a:ext cx="4006801" cy="2658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1497330</xdr:colOff>
      <xdr:row>17</xdr:row>
      <xdr:rowOff>26670</xdr:rowOff>
    </xdr:from>
    <xdr:to>
      <xdr:col>9</xdr:col>
      <xdr:colOff>688291</xdr:colOff>
      <xdr:row>31</xdr:row>
      <xdr:rowOff>18171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4">
              <a:extLst>
                <a:ext uri="{FF2B5EF4-FFF2-40B4-BE49-F238E27FC236}">
                  <a16:creationId xmlns:a16="http://schemas.microsoft.com/office/drawing/2014/main" id="{A9AD4794-69C2-4ED7-9502-F2E0D62150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6850" y="3265170"/>
              <a:ext cx="4288741" cy="2658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21AD-3D74-4A55-BF1B-DCEFFD27F88F}">
  <sheetPr filterMode="1"/>
  <dimension ref="B2:I289"/>
  <sheetViews>
    <sheetView tabSelected="1" zoomScaleNormal="100" workbookViewId="0">
      <selection activeCell="B156" sqref="B156"/>
    </sheetView>
  </sheetViews>
  <sheetFormatPr baseColWidth="10" defaultColWidth="11.44140625" defaultRowHeight="14.4" x14ac:dyDescent="0.3"/>
  <cols>
    <col min="2" max="2" width="17.44140625" style="1" customWidth="1"/>
    <col min="3" max="3" width="43.6640625" style="1" bestFit="1" customWidth="1"/>
    <col min="4" max="4" width="20.6640625" style="23" bestFit="1" customWidth="1"/>
    <col min="5" max="5" width="34.88671875" style="1" bestFit="1" customWidth="1"/>
    <col min="6" max="6" width="33.33203125" bestFit="1" customWidth="1"/>
    <col min="7" max="7" width="20.6640625" bestFit="1" customWidth="1"/>
    <col min="8" max="8" width="9.5546875" bestFit="1" customWidth="1"/>
    <col min="9" max="9" width="11.5546875" bestFit="1" customWidth="1"/>
  </cols>
  <sheetData>
    <row r="2" spans="2:9" x14ac:dyDescent="0.3">
      <c r="B2" s="91" t="s">
        <v>0</v>
      </c>
      <c r="C2" s="91"/>
      <c r="D2" s="91"/>
      <c r="E2" s="91"/>
    </row>
    <row r="3" spans="2:9" ht="15" thickBot="1" x14ac:dyDescent="0.35"/>
    <row r="4" spans="2:9" ht="15" thickBot="1" x14ac:dyDescent="0.35">
      <c r="B4" s="29" t="s">
        <v>1</v>
      </c>
      <c r="C4" s="30" t="s">
        <v>2</v>
      </c>
      <c r="D4" s="30" t="s">
        <v>3</v>
      </c>
      <c r="E4" s="31" t="s">
        <v>4</v>
      </c>
      <c r="H4" s="6" t="s">
        <v>5</v>
      </c>
      <c r="I4" s="7" t="s">
        <v>6</v>
      </c>
    </row>
    <row r="5" spans="2:9" hidden="1" x14ac:dyDescent="0.3">
      <c r="B5" s="32" t="s">
        <v>7</v>
      </c>
      <c r="C5" s="20" t="s">
        <v>8</v>
      </c>
      <c r="D5" s="24" t="s">
        <v>9</v>
      </c>
      <c r="E5" s="33" t="s">
        <v>10</v>
      </c>
      <c r="G5" s="9" t="s">
        <v>11</v>
      </c>
      <c r="H5" s="10">
        <v>255</v>
      </c>
      <c r="I5" s="11">
        <v>1</v>
      </c>
    </row>
    <row r="6" spans="2:9" hidden="1" x14ac:dyDescent="0.3">
      <c r="B6" s="34" t="s">
        <v>12</v>
      </c>
      <c r="C6" s="51" t="s">
        <v>36</v>
      </c>
      <c r="D6" s="57"/>
      <c r="E6" s="52"/>
      <c r="G6" s="5" t="s">
        <v>1540</v>
      </c>
      <c r="H6" s="8">
        <f>COUNTIF($D$5:$D$259,G6)</f>
        <v>5</v>
      </c>
      <c r="I6" s="12">
        <f>H6/$H$5</f>
        <v>1.9607843137254902E-2</v>
      </c>
    </row>
    <row r="7" spans="2:9" hidden="1" x14ac:dyDescent="0.3">
      <c r="B7" s="34" t="s">
        <v>15</v>
      </c>
      <c r="C7" s="2" t="s">
        <v>16</v>
      </c>
      <c r="D7" s="25" t="s">
        <v>17</v>
      </c>
      <c r="E7" s="35" t="s">
        <v>10</v>
      </c>
      <c r="G7" s="13" t="s">
        <v>18</v>
      </c>
      <c r="H7" s="8">
        <f>COUNTIF(D:D,"CCTV")</f>
        <v>5</v>
      </c>
      <c r="I7" s="12">
        <f>H7/$H$5</f>
        <v>1.9607843137254902E-2</v>
      </c>
    </row>
    <row r="8" spans="2:9" hidden="1" x14ac:dyDescent="0.3">
      <c r="B8" s="34" t="s">
        <v>19</v>
      </c>
      <c r="C8" s="2" t="s">
        <v>1530</v>
      </c>
      <c r="D8" s="25" t="s">
        <v>17</v>
      </c>
      <c r="E8" s="35" t="s">
        <v>10</v>
      </c>
      <c r="G8" s="13" t="s">
        <v>20</v>
      </c>
      <c r="H8" s="8">
        <f>COUNTIF(D:D,"ENLACE")</f>
        <v>0</v>
      </c>
      <c r="I8" s="12">
        <f t="shared" ref="I8:I14" si="0">H8/$H$5</f>
        <v>0</v>
      </c>
    </row>
    <row r="9" spans="2:9" hidden="1" x14ac:dyDescent="0.3">
      <c r="B9" s="34" t="s">
        <v>21</v>
      </c>
      <c r="C9" s="2" t="s">
        <v>1534</v>
      </c>
      <c r="D9" s="25" t="s">
        <v>17</v>
      </c>
      <c r="E9" s="35" t="s">
        <v>10</v>
      </c>
      <c r="G9" s="5" t="s">
        <v>22</v>
      </c>
      <c r="H9" s="8">
        <f>COUNTIF(D:D,"IMPRESORA")</f>
        <v>21</v>
      </c>
      <c r="I9" s="12">
        <f t="shared" si="0"/>
        <v>8.2352941176470587E-2</v>
      </c>
    </row>
    <row r="10" spans="2:9" hidden="1" x14ac:dyDescent="0.3">
      <c r="B10" s="47" t="s">
        <v>23</v>
      </c>
      <c r="C10" s="3" t="s">
        <v>1535</v>
      </c>
      <c r="D10" s="58" t="s">
        <v>17</v>
      </c>
      <c r="E10" s="35" t="s">
        <v>10</v>
      </c>
      <c r="G10" s="5" t="s">
        <v>28</v>
      </c>
      <c r="H10" s="8">
        <f>COUNTIF(D:D,"RELOJ TALANA")</f>
        <v>2</v>
      </c>
      <c r="I10" s="12">
        <f t="shared" si="0"/>
        <v>7.8431372549019607E-3</v>
      </c>
    </row>
    <row r="11" spans="2:9" hidden="1" x14ac:dyDescent="0.3">
      <c r="B11" s="34" t="s">
        <v>25</v>
      </c>
      <c r="C11" s="2" t="s">
        <v>26</v>
      </c>
      <c r="D11" s="25" t="s">
        <v>17</v>
      </c>
      <c r="E11" s="35" t="s">
        <v>27</v>
      </c>
      <c r="G11" s="5" t="s">
        <v>17</v>
      </c>
      <c r="H11" s="8">
        <f>COUNTIF(D:D,"SERVIDOR")</f>
        <v>42</v>
      </c>
      <c r="I11" s="12">
        <f t="shared" si="0"/>
        <v>0.16470588235294117</v>
      </c>
    </row>
    <row r="12" spans="2:9" hidden="1" x14ac:dyDescent="0.3">
      <c r="B12" s="34" t="s">
        <v>29</v>
      </c>
      <c r="C12" s="2" t="s">
        <v>30</v>
      </c>
      <c r="D12" s="25" t="s">
        <v>17</v>
      </c>
      <c r="E12" s="35" t="s">
        <v>27</v>
      </c>
      <c r="G12" s="14" t="s">
        <v>34</v>
      </c>
      <c r="H12" s="8">
        <f>COUNTIF(D:D,"USUARIO")</f>
        <v>120</v>
      </c>
      <c r="I12" s="12">
        <f t="shared" si="0"/>
        <v>0.47058823529411764</v>
      </c>
    </row>
    <row r="13" spans="2:9" hidden="1" x14ac:dyDescent="0.3">
      <c r="B13" s="34" t="s">
        <v>31</v>
      </c>
      <c r="C13" s="2" t="s">
        <v>1536</v>
      </c>
      <c r="D13" s="25" t="s">
        <v>17</v>
      </c>
      <c r="E13" s="35" t="s">
        <v>10</v>
      </c>
      <c r="G13" s="5" t="s">
        <v>36</v>
      </c>
      <c r="H13" s="8">
        <f>COUNTIF(C:C,"libre")</f>
        <v>50</v>
      </c>
      <c r="I13" s="12">
        <f>H13/$H$5</f>
        <v>0.19607843137254902</v>
      </c>
    </row>
    <row r="14" spans="2:9" ht="15" hidden="1" thickBot="1" x14ac:dyDescent="0.35">
      <c r="B14" s="34" t="s">
        <v>33</v>
      </c>
      <c r="C14" s="2" t="s">
        <v>36</v>
      </c>
      <c r="D14" s="25"/>
      <c r="E14" s="35"/>
      <c r="G14" s="15" t="s">
        <v>13</v>
      </c>
      <c r="H14" s="16">
        <f>COUNTIF(C:C,"¿?")</f>
        <v>5</v>
      </c>
      <c r="I14" s="17">
        <f t="shared" si="0"/>
        <v>1.9607843137254902E-2</v>
      </c>
    </row>
    <row r="15" spans="2:9" hidden="1" x14ac:dyDescent="0.3">
      <c r="B15" s="34" t="s">
        <v>35</v>
      </c>
      <c r="C15" s="2" t="s">
        <v>1537</v>
      </c>
      <c r="D15" s="25" t="s">
        <v>17</v>
      </c>
      <c r="E15" s="35" t="s">
        <v>10</v>
      </c>
    </row>
    <row r="16" spans="2:9" hidden="1" x14ac:dyDescent="0.3">
      <c r="B16" s="34" t="s">
        <v>37</v>
      </c>
      <c r="C16" s="2" t="s">
        <v>1531</v>
      </c>
      <c r="D16" s="25" t="s">
        <v>17</v>
      </c>
      <c r="E16" s="35" t="s">
        <v>10</v>
      </c>
    </row>
    <row r="17" spans="2:5" hidden="1" x14ac:dyDescent="0.3">
      <c r="B17" s="34" t="s">
        <v>38</v>
      </c>
      <c r="C17" s="2" t="s">
        <v>39</v>
      </c>
      <c r="D17" s="25" t="s">
        <v>17</v>
      </c>
      <c r="E17" s="35" t="s">
        <v>10</v>
      </c>
    </row>
    <row r="18" spans="2:5" ht="27.6" hidden="1" x14ac:dyDescent="0.3">
      <c r="B18" s="34" t="s">
        <v>40</v>
      </c>
      <c r="C18" s="4" t="s">
        <v>41</v>
      </c>
      <c r="D18" s="25" t="s">
        <v>17</v>
      </c>
      <c r="E18" s="35" t="s">
        <v>27</v>
      </c>
    </row>
    <row r="19" spans="2:5" hidden="1" x14ac:dyDescent="0.3">
      <c r="B19" s="34" t="s">
        <v>42</v>
      </c>
      <c r="C19" s="2" t="s">
        <v>43</v>
      </c>
      <c r="D19" s="25" t="s">
        <v>49</v>
      </c>
      <c r="E19" s="35" t="s">
        <v>10</v>
      </c>
    </row>
    <row r="20" spans="2:5" hidden="1" x14ac:dyDescent="0.3">
      <c r="B20" s="34" t="s">
        <v>44</v>
      </c>
      <c r="C20" s="2" t="s">
        <v>45</v>
      </c>
      <c r="D20" s="25" t="s">
        <v>17</v>
      </c>
      <c r="E20" s="35" t="s">
        <v>27</v>
      </c>
    </row>
    <row r="21" spans="2:5" hidden="1" x14ac:dyDescent="0.3">
      <c r="B21" s="34" t="s">
        <v>46</v>
      </c>
      <c r="C21" s="2" t="s">
        <v>1538</v>
      </c>
      <c r="D21" s="25" t="s">
        <v>17</v>
      </c>
      <c r="E21" s="35" t="s">
        <v>10</v>
      </c>
    </row>
    <row r="22" spans="2:5" hidden="1" x14ac:dyDescent="0.3">
      <c r="B22" s="34" t="s">
        <v>47</v>
      </c>
      <c r="C22" s="2" t="s">
        <v>48</v>
      </c>
      <c r="D22" s="25" t="s">
        <v>49</v>
      </c>
      <c r="E22" s="35" t="s">
        <v>50</v>
      </c>
    </row>
    <row r="23" spans="2:5" hidden="1" x14ac:dyDescent="0.3">
      <c r="B23" s="34" t="s">
        <v>51</v>
      </c>
      <c r="C23" s="2" t="s">
        <v>36</v>
      </c>
      <c r="D23" s="59"/>
      <c r="E23" s="35"/>
    </row>
    <row r="24" spans="2:5" hidden="1" x14ac:dyDescent="0.3">
      <c r="B24" s="34" t="s">
        <v>54</v>
      </c>
      <c r="C24" s="2" t="s">
        <v>1574</v>
      </c>
      <c r="D24" s="25" t="s">
        <v>1540</v>
      </c>
      <c r="E24" s="35" t="s">
        <v>10</v>
      </c>
    </row>
    <row r="25" spans="2:5" hidden="1" x14ac:dyDescent="0.3">
      <c r="B25" s="34" t="s">
        <v>56</v>
      </c>
      <c r="C25" s="2" t="s">
        <v>1539</v>
      </c>
      <c r="D25" s="60" t="s">
        <v>17</v>
      </c>
      <c r="E25" s="35" t="s">
        <v>10</v>
      </c>
    </row>
    <row r="26" spans="2:5" hidden="1" x14ac:dyDescent="0.3">
      <c r="B26" s="34" t="s">
        <v>57</v>
      </c>
      <c r="C26" s="2" t="s">
        <v>1523</v>
      </c>
      <c r="D26" s="25" t="s">
        <v>22</v>
      </c>
      <c r="E26" s="35" t="s">
        <v>58</v>
      </c>
    </row>
    <row r="27" spans="2:5" hidden="1" x14ac:dyDescent="0.3">
      <c r="B27" s="34" t="s">
        <v>59</v>
      </c>
      <c r="C27" s="2" t="s">
        <v>55</v>
      </c>
      <c r="D27" s="25" t="s">
        <v>1540</v>
      </c>
      <c r="E27" s="35" t="s">
        <v>10</v>
      </c>
    </row>
    <row r="28" spans="2:5" hidden="1" x14ac:dyDescent="0.3">
      <c r="B28" s="34" t="s">
        <v>60</v>
      </c>
      <c r="C28" s="2" t="s">
        <v>1553</v>
      </c>
      <c r="D28" s="25" t="s">
        <v>49</v>
      </c>
      <c r="E28" s="35" t="s">
        <v>104</v>
      </c>
    </row>
    <row r="29" spans="2:5" hidden="1" x14ac:dyDescent="0.3">
      <c r="B29" s="34" t="s">
        <v>61</v>
      </c>
      <c r="C29" s="2" t="s">
        <v>36</v>
      </c>
      <c r="D29" s="25"/>
      <c r="E29" s="35"/>
    </row>
    <row r="30" spans="2:5" hidden="1" x14ac:dyDescent="0.3">
      <c r="B30" s="34" t="s">
        <v>63</v>
      </c>
      <c r="C30" s="2" t="s">
        <v>36</v>
      </c>
      <c r="D30" s="25"/>
      <c r="E30" s="35"/>
    </row>
    <row r="31" spans="2:5" hidden="1" x14ac:dyDescent="0.3">
      <c r="B31" s="34" t="s">
        <v>64</v>
      </c>
      <c r="C31" s="2" t="s">
        <v>36</v>
      </c>
      <c r="D31" s="25"/>
      <c r="E31" s="35"/>
    </row>
    <row r="32" spans="2:5" hidden="1" x14ac:dyDescent="0.3">
      <c r="B32" s="34" t="s">
        <v>65</v>
      </c>
      <c r="C32" s="36" t="s">
        <v>66</v>
      </c>
      <c r="D32" s="88" t="s">
        <v>18</v>
      </c>
      <c r="E32" s="35" t="s">
        <v>58</v>
      </c>
    </row>
    <row r="33" spans="2:5" hidden="1" x14ac:dyDescent="0.3">
      <c r="B33" s="34" t="s">
        <v>67</v>
      </c>
      <c r="C33" s="2" t="s">
        <v>36</v>
      </c>
      <c r="D33" s="25"/>
      <c r="E33" s="35"/>
    </row>
    <row r="34" spans="2:5" hidden="1" x14ac:dyDescent="0.3">
      <c r="B34" s="34" t="s">
        <v>68</v>
      </c>
      <c r="C34" s="2" t="s">
        <v>69</v>
      </c>
      <c r="D34" s="25" t="s">
        <v>17</v>
      </c>
      <c r="E34" s="37" t="s">
        <v>70</v>
      </c>
    </row>
    <row r="35" spans="2:5" hidden="1" x14ac:dyDescent="0.3">
      <c r="B35" s="34" t="s">
        <v>71</v>
      </c>
      <c r="C35" s="2" t="s">
        <v>48</v>
      </c>
      <c r="D35" s="25" t="s">
        <v>49</v>
      </c>
      <c r="E35" s="35" t="s">
        <v>50</v>
      </c>
    </row>
    <row r="36" spans="2:5" hidden="1" x14ac:dyDescent="0.3">
      <c r="B36" s="34" t="s">
        <v>72</v>
      </c>
      <c r="C36" s="2" t="s">
        <v>73</v>
      </c>
      <c r="D36" s="59" t="s">
        <v>49</v>
      </c>
      <c r="E36" s="35" t="s">
        <v>27</v>
      </c>
    </row>
    <row r="37" spans="2:5" hidden="1" x14ac:dyDescent="0.3">
      <c r="B37" s="34" t="s">
        <v>74</v>
      </c>
      <c r="C37" s="51" t="s">
        <v>36</v>
      </c>
      <c r="D37" s="61"/>
      <c r="E37" s="35"/>
    </row>
    <row r="38" spans="2:5" hidden="1" x14ac:dyDescent="0.3">
      <c r="B38" s="34" t="s">
        <v>75</v>
      </c>
      <c r="C38" s="2" t="s">
        <v>36</v>
      </c>
      <c r="D38" s="25"/>
      <c r="E38" s="35"/>
    </row>
    <row r="39" spans="2:5" hidden="1" x14ac:dyDescent="0.3">
      <c r="B39" s="34" t="s">
        <v>76</v>
      </c>
      <c r="C39" s="2" t="s">
        <v>77</v>
      </c>
      <c r="D39" s="25" t="s">
        <v>49</v>
      </c>
      <c r="E39" s="35" t="s">
        <v>27</v>
      </c>
    </row>
    <row r="40" spans="2:5" hidden="1" x14ac:dyDescent="0.3">
      <c r="B40" s="34" t="s">
        <v>78</v>
      </c>
      <c r="C40" s="2" t="s">
        <v>79</v>
      </c>
      <c r="D40" s="25" t="s">
        <v>17</v>
      </c>
      <c r="E40" s="35" t="s">
        <v>27</v>
      </c>
    </row>
    <row r="41" spans="2:5" hidden="1" x14ac:dyDescent="0.3">
      <c r="B41" s="34" t="s">
        <v>80</v>
      </c>
      <c r="C41" s="38" t="s">
        <v>81</v>
      </c>
      <c r="D41" s="25" t="s">
        <v>49</v>
      </c>
      <c r="E41" s="35" t="s">
        <v>53</v>
      </c>
    </row>
    <row r="42" spans="2:5" hidden="1" x14ac:dyDescent="0.3">
      <c r="B42" s="34" t="s">
        <v>82</v>
      </c>
      <c r="C42" s="2" t="s">
        <v>83</v>
      </c>
      <c r="D42" s="25" t="s">
        <v>49</v>
      </c>
      <c r="E42" s="35" t="s">
        <v>53</v>
      </c>
    </row>
    <row r="43" spans="2:5" hidden="1" x14ac:dyDescent="0.3">
      <c r="B43" s="34" t="s">
        <v>84</v>
      </c>
      <c r="C43" s="2" t="s">
        <v>85</v>
      </c>
      <c r="D43" s="25" t="s">
        <v>49</v>
      </c>
      <c r="E43" s="35" t="s">
        <v>10</v>
      </c>
    </row>
    <row r="44" spans="2:5" hidden="1" x14ac:dyDescent="0.3">
      <c r="B44" s="34" t="s">
        <v>86</v>
      </c>
      <c r="C44" s="2" t="s">
        <v>87</v>
      </c>
      <c r="D44" s="25" t="s">
        <v>49</v>
      </c>
      <c r="E44" s="35" t="s">
        <v>10</v>
      </c>
    </row>
    <row r="45" spans="2:5" hidden="1" x14ac:dyDescent="0.3">
      <c r="B45" s="34" t="s">
        <v>88</v>
      </c>
      <c r="C45" s="2" t="s">
        <v>89</v>
      </c>
      <c r="D45" s="25" t="s">
        <v>49</v>
      </c>
      <c r="E45" s="35" t="s">
        <v>10</v>
      </c>
    </row>
    <row r="46" spans="2:5" hidden="1" x14ac:dyDescent="0.3">
      <c r="B46" s="34" t="s">
        <v>90</v>
      </c>
      <c r="C46" s="2" t="s">
        <v>91</v>
      </c>
      <c r="D46" s="25" t="s">
        <v>49</v>
      </c>
      <c r="E46" s="35" t="s">
        <v>10</v>
      </c>
    </row>
    <row r="47" spans="2:5" hidden="1" x14ac:dyDescent="0.3">
      <c r="B47" s="34" t="s">
        <v>92</v>
      </c>
      <c r="C47" s="2" t="s">
        <v>93</v>
      </c>
      <c r="D47" s="25" t="s">
        <v>17</v>
      </c>
      <c r="E47" s="35" t="s">
        <v>27</v>
      </c>
    </row>
    <row r="48" spans="2:5" hidden="1" x14ac:dyDescent="0.3">
      <c r="B48" s="34" t="s">
        <v>94</v>
      </c>
      <c r="C48" s="2" t="s">
        <v>95</v>
      </c>
      <c r="D48" s="25" t="s">
        <v>49</v>
      </c>
      <c r="E48" s="35" t="s">
        <v>10</v>
      </c>
    </row>
    <row r="49" spans="2:5" hidden="1" x14ac:dyDescent="0.3">
      <c r="B49" s="34" t="s">
        <v>96</v>
      </c>
      <c r="C49" s="2" t="s">
        <v>97</v>
      </c>
      <c r="D49" s="25" t="s">
        <v>49</v>
      </c>
      <c r="E49" s="35" t="s">
        <v>98</v>
      </c>
    </row>
    <row r="50" spans="2:5" hidden="1" x14ac:dyDescent="0.3">
      <c r="B50" s="34" t="s">
        <v>99</v>
      </c>
      <c r="C50" s="2" t="s">
        <v>13</v>
      </c>
      <c r="D50" s="25"/>
      <c r="E50" s="35"/>
    </row>
    <row r="51" spans="2:5" hidden="1" x14ac:dyDescent="0.3">
      <c r="B51" s="34" t="s">
        <v>100</v>
      </c>
      <c r="C51" s="2" t="s">
        <v>101</v>
      </c>
      <c r="D51" s="25" t="s">
        <v>49</v>
      </c>
      <c r="E51" s="35" t="s">
        <v>58</v>
      </c>
    </row>
    <row r="52" spans="2:5" hidden="1" x14ac:dyDescent="0.3">
      <c r="B52" s="34" t="s">
        <v>102</v>
      </c>
      <c r="C52" s="2" t="s">
        <v>103</v>
      </c>
      <c r="D52" s="59" t="s">
        <v>49</v>
      </c>
      <c r="E52" s="35" t="s">
        <v>104</v>
      </c>
    </row>
    <row r="53" spans="2:5" hidden="1" x14ac:dyDescent="0.3">
      <c r="B53" s="34" t="s">
        <v>105</v>
      </c>
      <c r="C53" s="2" t="s">
        <v>36</v>
      </c>
      <c r="D53" s="25"/>
      <c r="E53" s="35"/>
    </row>
    <row r="54" spans="2:5" hidden="1" x14ac:dyDescent="0.3">
      <c r="B54" s="34" t="s">
        <v>106</v>
      </c>
      <c r="C54" s="2" t="s">
        <v>36</v>
      </c>
      <c r="D54" s="25"/>
      <c r="E54" s="35"/>
    </row>
    <row r="55" spans="2:5" hidden="1" x14ac:dyDescent="0.3">
      <c r="B55" s="34" t="s">
        <v>109</v>
      </c>
      <c r="C55" s="2" t="s">
        <v>110</v>
      </c>
      <c r="D55" s="25" t="s">
        <v>49</v>
      </c>
      <c r="E55" s="35" t="s">
        <v>27</v>
      </c>
    </row>
    <row r="56" spans="2:5" hidden="1" x14ac:dyDescent="0.3">
      <c r="B56" s="34" t="s">
        <v>111</v>
      </c>
      <c r="C56" s="49" t="s">
        <v>36</v>
      </c>
      <c r="D56" s="25"/>
      <c r="E56" s="35"/>
    </row>
    <row r="57" spans="2:5" hidden="1" x14ac:dyDescent="0.3">
      <c r="B57" s="34" t="s">
        <v>112</v>
      </c>
      <c r="C57" s="2" t="s">
        <v>113</v>
      </c>
      <c r="D57" s="59" t="s">
        <v>49</v>
      </c>
      <c r="E57" s="35" t="s">
        <v>114</v>
      </c>
    </row>
    <row r="58" spans="2:5" hidden="1" x14ac:dyDescent="0.3">
      <c r="B58" s="34" t="s">
        <v>115</v>
      </c>
      <c r="C58" s="2" t="s">
        <v>1549</v>
      </c>
      <c r="D58" s="25" t="s">
        <v>49</v>
      </c>
      <c r="E58" s="35" t="s">
        <v>104</v>
      </c>
    </row>
    <row r="59" spans="2:5" hidden="1" x14ac:dyDescent="0.3">
      <c r="B59" s="34" t="s">
        <v>116</v>
      </c>
      <c r="C59" s="2" t="s">
        <v>117</v>
      </c>
      <c r="D59" s="25" t="s">
        <v>49</v>
      </c>
      <c r="E59" s="35" t="s">
        <v>10</v>
      </c>
    </row>
    <row r="60" spans="2:5" hidden="1" x14ac:dyDescent="0.3">
      <c r="B60" s="34" t="s">
        <v>118</v>
      </c>
      <c r="C60" s="2" t="s">
        <v>119</v>
      </c>
      <c r="D60" s="25" t="s">
        <v>49</v>
      </c>
      <c r="E60" s="35" t="s">
        <v>27</v>
      </c>
    </row>
    <row r="61" spans="2:5" hidden="1" x14ac:dyDescent="0.3">
      <c r="B61" s="34" t="s">
        <v>120</v>
      </c>
      <c r="C61" s="2" t="s">
        <v>1548</v>
      </c>
      <c r="D61" s="25" t="s">
        <v>49</v>
      </c>
      <c r="E61" s="35" t="s">
        <v>98</v>
      </c>
    </row>
    <row r="62" spans="2:5" hidden="1" x14ac:dyDescent="0.3">
      <c r="B62" s="34" t="s">
        <v>121</v>
      </c>
      <c r="C62" s="2" t="s">
        <v>122</v>
      </c>
      <c r="D62" s="25" t="s">
        <v>49</v>
      </c>
      <c r="E62" s="35" t="s">
        <v>104</v>
      </c>
    </row>
    <row r="63" spans="2:5" hidden="1" x14ac:dyDescent="0.3">
      <c r="B63" s="34" t="s">
        <v>123</v>
      </c>
      <c r="C63" s="2" t="s">
        <v>124</v>
      </c>
      <c r="D63" s="25" t="s">
        <v>17</v>
      </c>
      <c r="E63" s="35" t="s">
        <v>10</v>
      </c>
    </row>
    <row r="64" spans="2:5" hidden="1" x14ac:dyDescent="0.3">
      <c r="B64" s="34" t="s">
        <v>125</v>
      </c>
      <c r="C64" s="2" t="s">
        <v>126</v>
      </c>
      <c r="D64" s="25" t="s">
        <v>49</v>
      </c>
      <c r="E64" s="35" t="s">
        <v>127</v>
      </c>
    </row>
    <row r="65" spans="2:5" hidden="1" x14ac:dyDescent="0.3">
      <c r="B65" s="34" t="s">
        <v>128</v>
      </c>
      <c r="C65" s="2" t="s">
        <v>129</v>
      </c>
      <c r="D65" s="25" t="s">
        <v>49</v>
      </c>
      <c r="E65" s="35" t="s">
        <v>104</v>
      </c>
    </row>
    <row r="66" spans="2:5" hidden="1" x14ac:dyDescent="0.3">
      <c r="B66" s="34" t="s">
        <v>130</v>
      </c>
      <c r="C66" s="2" t="s">
        <v>36</v>
      </c>
      <c r="D66" s="25"/>
      <c r="E66" s="35"/>
    </row>
    <row r="67" spans="2:5" hidden="1" x14ac:dyDescent="0.3">
      <c r="B67" s="34" t="s">
        <v>132</v>
      </c>
      <c r="C67" s="2" t="s">
        <v>1578</v>
      </c>
      <c r="D67" s="25" t="s">
        <v>49</v>
      </c>
      <c r="E67" s="35" t="s">
        <v>58</v>
      </c>
    </row>
    <row r="68" spans="2:5" hidden="1" x14ac:dyDescent="0.3">
      <c r="B68" s="34" t="s">
        <v>133</v>
      </c>
      <c r="C68" s="2" t="s">
        <v>134</v>
      </c>
      <c r="D68" s="25" t="s">
        <v>49</v>
      </c>
      <c r="E68" s="35" t="s">
        <v>104</v>
      </c>
    </row>
    <row r="69" spans="2:5" hidden="1" x14ac:dyDescent="0.3">
      <c r="B69" s="34" t="s">
        <v>135</v>
      </c>
      <c r="C69" s="2" t="s">
        <v>136</v>
      </c>
      <c r="D69" s="59" t="s">
        <v>49</v>
      </c>
      <c r="E69" s="35" t="s">
        <v>58</v>
      </c>
    </row>
    <row r="70" spans="2:5" hidden="1" x14ac:dyDescent="0.3">
      <c r="B70" s="34" t="s">
        <v>137</v>
      </c>
      <c r="C70" s="2" t="s">
        <v>138</v>
      </c>
      <c r="D70" s="25" t="s">
        <v>49</v>
      </c>
      <c r="E70" s="35" t="s">
        <v>53</v>
      </c>
    </row>
    <row r="71" spans="2:5" hidden="1" x14ac:dyDescent="0.3">
      <c r="B71" s="34" t="s">
        <v>139</v>
      </c>
      <c r="C71" s="2" t="s">
        <v>140</v>
      </c>
      <c r="D71" s="25" t="s">
        <v>49</v>
      </c>
      <c r="E71" s="35" t="s">
        <v>53</v>
      </c>
    </row>
    <row r="72" spans="2:5" hidden="1" x14ac:dyDescent="0.3">
      <c r="B72" s="34" t="s">
        <v>141</v>
      </c>
      <c r="C72" s="2" t="s">
        <v>142</v>
      </c>
      <c r="D72" s="25" t="s">
        <v>22</v>
      </c>
      <c r="E72" s="35" t="s">
        <v>108</v>
      </c>
    </row>
    <row r="73" spans="2:5" hidden="1" x14ac:dyDescent="0.3">
      <c r="B73" s="34" t="s">
        <v>143</v>
      </c>
      <c r="C73" s="4" t="s">
        <v>144</v>
      </c>
      <c r="D73" s="25" t="s">
        <v>49</v>
      </c>
      <c r="E73" s="35" t="s">
        <v>27</v>
      </c>
    </row>
    <row r="74" spans="2:5" hidden="1" x14ac:dyDescent="0.3">
      <c r="B74" s="34" t="s">
        <v>145</v>
      </c>
      <c r="C74" s="2" t="s">
        <v>146</v>
      </c>
      <c r="D74" s="25" t="s">
        <v>49</v>
      </c>
      <c r="E74" s="35" t="s">
        <v>27</v>
      </c>
    </row>
    <row r="75" spans="2:5" hidden="1" x14ac:dyDescent="0.3">
      <c r="B75" s="34" t="s">
        <v>147</v>
      </c>
      <c r="C75" s="2" t="s">
        <v>1581</v>
      </c>
      <c r="D75" s="25" t="s">
        <v>10</v>
      </c>
      <c r="E75" s="35" t="s">
        <v>10</v>
      </c>
    </row>
    <row r="76" spans="2:5" hidden="1" x14ac:dyDescent="0.3">
      <c r="B76" s="34" t="s">
        <v>148</v>
      </c>
      <c r="C76" s="2" t="s">
        <v>149</v>
      </c>
      <c r="D76" s="59" t="s">
        <v>49</v>
      </c>
      <c r="E76" s="35" t="s">
        <v>104</v>
      </c>
    </row>
    <row r="77" spans="2:5" hidden="1" x14ac:dyDescent="0.3">
      <c r="B77" s="34" t="s">
        <v>150</v>
      </c>
      <c r="C77" s="2" t="s">
        <v>151</v>
      </c>
      <c r="D77" s="25" t="s">
        <v>22</v>
      </c>
      <c r="E77" s="35" t="s">
        <v>104</v>
      </c>
    </row>
    <row r="78" spans="2:5" hidden="1" x14ac:dyDescent="0.3">
      <c r="B78" s="34" t="s">
        <v>152</v>
      </c>
      <c r="C78" s="2" t="s">
        <v>153</v>
      </c>
      <c r="D78" s="25" t="s">
        <v>22</v>
      </c>
      <c r="E78" s="35" t="s">
        <v>27</v>
      </c>
    </row>
    <row r="79" spans="2:5" hidden="1" x14ac:dyDescent="0.3">
      <c r="B79" s="34" t="s">
        <v>154</v>
      </c>
      <c r="C79" s="2" t="s">
        <v>1525</v>
      </c>
      <c r="D79" s="25" t="s">
        <v>22</v>
      </c>
      <c r="E79" s="35" t="s">
        <v>98</v>
      </c>
    </row>
    <row r="80" spans="2:5" hidden="1" x14ac:dyDescent="0.3">
      <c r="B80" s="34" t="s">
        <v>155</v>
      </c>
      <c r="C80" s="2" t="s">
        <v>156</v>
      </c>
      <c r="D80" s="25" t="s">
        <v>22</v>
      </c>
      <c r="E80" s="35" t="s">
        <v>10</v>
      </c>
    </row>
    <row r="81" spans="2:5" hidden="1" x14ac:dyDescent="0.3">
      <c r="B81" s="34" t="s">
        <v>157</v>
      </c>
      <c r="C81" s="2" t="s">
        <v>158</v>
      </c>
      <c r="D81" s="25" t="s">
        <v>22</v>
      </c>
      <c r="E81" s="35" t="s">
        <v>27</v>
      </c>
    </row>
    <row r="82" spans="2:5" hidden="1" x14ac:dyDescent="0.3">
      <c r="B82" s="34" t="s">
        <v>159</v>
      </c>
      <c r="C82" s="2" t="s">
        <v>1524</v>
      </c>
      <c r="D82" s="25" t="s">
        <v>22</v>
      </c>
      <c r="E82" s="35" t="s">
        <v>58</v>
      </c>
    </row>
    <row r="83" spans="2:5" hidden="1" x14ac:dyDescent="0.3">
      <c r="B83" s="34" t="s">
        <v>160</v>
      </c>
      <c r="C83" s="2" t="s">
        <v>36</v>
      </c>
      <c r="D83" s="59"/>
      <c r="E83" s="35"/>
    </row>
    <row r="84" spans="2:5" hidden="1" x14ac:dyDescent="0.3">
      <c r="B84" s="34" t="s">
        <v>161</v>
      </c>
      <c r="C84" s="2" t="s">
        <v>1522</v>
      </c>
      <c r="D84" s="25" t="s">
        <v>22</v>
      </c>
      <c r="E84" s="35" t="s">
        <v>162</v>
      </c>
    </row>
    <row r="85" spans="2:5" hidden="1" x14ac:dyDescent="0.3">
      <c r="B85" s="34" t="s">
        <v>163</v>
      </c>
      <c r="C85" s="2" t="s">
        <v>164</v>
      </c>
      <c r="D85" s="25" t="s">
        <v>49</v>
      </c>
      <c r="E85" s="35" t="s">
        <v>1544</v>
      </c>
    </row>
    <row r="86" spans="2:5" hidden="1" x14ac:dyDescent="0.3">
      <c r="B86" s="34" t="s">
        <v>165</v>
      </c>
      <c r="C86" s="2" t="s">
        <v>52</v>
      </c>
      <c r="D86" s="25" t="s">
        <v>49</v>
      </c>
      <c r="E86" s="35" t="s">
        <v>53</v>
      </c>
    </row>
    <row r="87" spans="2:5" hidden="1" x14ac:dyDescent="0.3">
      <c r="B87" s="34" t="s">
        <v>166</v>
      </c>
      <c r="C87" s="2" t="s">
        <v>167</v>
      </c>
      <c r="D87" s="25" t="s">
        <v>22</v>
      </c>
      <c r="E87" s="35" t="s">
        <v>58</v>
      </c>
    </row>
    <row r="88" spans="2:5" hidden="1" x14ac:dyDescent="0.3">
      <c r="B88" s="34" t="s">
        <v>168</v>
      </c>
      <c r="C88" s="2" t="s">
        <v>1529</v>
      </c>
      <c r="D88" s="25" t="s">
        <v>22</v>
      </c>
      <c r="E88" s="35" t="s">
        <v>104</v>
      </c>
    </row>
    <row r="89" spans="2:5" hidden="1" x14ac:dyDescent="0.3">
      <c r="B89" s="34" t="s">
        <v>169</v>
      </c>
      <c r="C89" s="2" t="s">
        <v>170</v>
      </c>
      <c r="D89" s="25" t="s">
        <v>49</v>
      </c>
      <c r="E89" s="35" t="s">
        <v>53</v>
      </c>
    </row>
    <row r="90" spans="2:5" hidden="1" x14ac:dyDescent="0.3">
      <c r="B90" s="34" t="s">
        <v>171</v>
      </c>
      <c r="C90" s="2" t="s">
        <v>172</v>
      </c>
      <c r="D90" s="25" t="s">
        <v>49</v>
      </c>
      <c r="E90" s="35" t="s">
        <v>104</v>
      </c>
    </row>
    <row r="91" spans="2:5" hidden="1" x14ac:dyDescent="0.3">
      <c r="B91" s="34" t="s">
        <v>173</v>
      </c>
      <c r="C91" s="48" t="s">
        <v>13</v>
      </c>
      <c r="D91" s="25"/>
      <c r="E91" s="35"/>
    </row>
    <row r="92" spans="2:5" hidden="1" x14ac:dyDescent="0.3">
      <c r="B92" s="34" t="s">
        <v>174</v>
      </c>
      <c r="C92" s="2" t="s">
        <v>175</v>
      </c>
      <c r="D92" s="25" t="s">
        <v>49</v>
      </c>
      <c r="E92" s="35" t="s">
        <v>277</v>
      </c>
    </row>
    <row r="93" spans="2:5" hidden="1" x14ac:dyDescent="0.3">
      <c r="B93" s="34" t="s">
        <v>176</v>
      </c>
      <c r="C93" s="2" t="s">
        <v>1550</v>
      </c>
      <c r="D93" s="60"/>
      <c r="E93" s="35"/>
    </row>
    <row r="94" spans="2:5" hidden="1" x14ac:dyDescent="0.3">
      <c r="B94" s="34" t="s">
        <v>177</v>
      </c>
      <c r="C94" s="2" t="s">
        <v>178</v>
      </c>
      <c r="D94" s="25" t="s">
        <v>49</v>
      </c>
      <c r="E94" s="35" t="s">
        <v>27</v>
      </c>
    </row>
    <row r="95" spans="2:5" hidden="1" x14ac:dyDescent="0.3">
      <c r="B95" s="34" t="s">
        <v>179</v>
      </c>
      <c r="C95" s="2" t="s">
        <v>36</v>
      </c>
      <c r="D95" s="25"/>
      <c r="E95" s="35"/>
    </row>
    <row r="96" spans="2:5" hidden="1" x14ac:dyDescent="0.3">
      <c r="B96" s="34" t="s">
        <v>180</v>
      </c>
      <c r="C96" s="2" t="s">
        <v>181</v>
      </c>
      <c r="D96" s="25" t="s">
        <v>49</v>
      </c>
      <c r="E96" s="35" t="s">
        <v>10</v>
      </c>
    </row>
    <row r="97" spans="2:5" hidden="1" x14ac:dyDescent="0.3">
      <c r="B97" s="34" t="s">
        <v>182</v>
      </c>
      <c r="C97" s="2" t="s">
        <v>183</v>
      </c>
      <c r="D97" s="25" t="s">
        <v>49</v>
      </c>
      <c r="E97" s="35" t="s">
        <v>53</v>
      </c>
    </row>
    <row r="98" spans="2:5" hidden="1" x14ac:dyDescent="0.3">
      <c r="B98" s="34" t="s">
        <v>184</v>
      </c>
      <c r="C98" s="2" t="s">
        <v>185</v>
      </c>
      <c r="D98" s="25" t="s">
        <v>49</v>
      </c>
      <c r="E98" s="35" t="s">
        <v>58</v>
      </c>
    </row>
    <row r="99" spans="2:5" hidden="1" x14ac:dyDescent="0.3">
      <c r="B99" s="34" t="s">
        <v>186</v>
      </c>
      <c r="C99" s="2" t="s">
        <v>187</v>
      </c>
      <c r="D99" s="59" t="s">
        <v>17</v>
      </c>
      <c r="E99" s="35" t="s">
        <v>10</v>
      </c>
    </row>
    <row r="100" spans="2:5" hidden="1" x14ac:dyDescent="0.3">
      <c r="B100" s="34" t="s">
        <v>188</v>
      </c>
      <c r="C100" s="2" t="s">
        <v>189</v>
      </c>
      <c r="D100" s="59" t="s">
        <v>49</v>
      </c>
      <c r="E100" s="35" t="s">
        <v>190</v>
      </c>
    </row>
    <row r="101" spans="2:5" hidden="1" x14ac:dyDescent="0.3">
      <c r="B101" s="34" t="s">
        <v>191</v>
      </c>
      <c r="C101" s="2" t="s">
        <v>192</v>
      </c>
      <c r="D101" s="25" t="s">
        <v>49</v>
      </c>
      <c r="E101" s="35" t="s">
        <v>53</v>
      </c>
    </row>
    <row r="102" spans="2:5" hidden="1" x14ac:dyDescent="0.3">
      <c r="B102" s="34" t="s">
        <v>193</v>
      </c>
      <c r="C102" s="2" t="s">
        <v>36</v>
      </c>
      <c r="D102" s="59"/>
      <c r="E102" s="35"/>
    </row>
    <row r="103" spans="2:5" hidden="1" x14ac:dyDescent="0.3">
      <c r="B103" s="34" t="s">
        <v>194</v>
      </c>
      <c r="C103" s="2" t="s">
        <v>1543</v>
      </c>
      <c r="D103" s="88" t="s">
        <v>18</v>
      </c>
      <c r="E103" s="35" t="s">
        <v>27</v>
      </c>
    </row>
    <row r="104" spans="2:5" hidden="1" x14ac:dyDescent="0.3">
      <c r="B104" s="34" t="s">
        <v>196</v>
      </c>
      <c r="C104" s="2" t="s">
        <v>1521</v>
      </c>
      <c r="D104" s="25" t="s">
        <v>22</v>
      </c>
      <c r="E104" s="35" t="s">
        <v>27</v>
      </c>
    </row>
    <row r="105" spans="2:5" hidden="1" x14ac:dyDescent="0.3">
      <c r="B105" s="34" t="s">
        <v>197</v>
      </c>
      <c r="C105" s="2" t="s">
        <v>198</v>
      </c>
      <c r="D105" s="59" t="s">
        <v>49</v>
      </c>
      <c r="E105" s="35" t="s">
        <v>27</v>
      </c>
    </row>
    <row r="106" spans="2:5" hidden="1" x14ac:dyDescent="0.3">
      <c r="B106" s="34" t="s">
        <v>199</v>
      </c>
      <c r="C106" s="2" t="s">
        <v>200</v>
      </c>
      <c r="D106" s="25" t="s">
        <v>17</v>
      </c>
      <c r="E106" s="37" t="s">
        <v>70</v>
      </c>
    </row>
    <row r="107" spans="2:5" hidden="1" x14ac:dyDescent="0.3">
      <c r="B107" s="34" t="s">
        <v>201</v>
      </c>
      <c r="C107" s="2" t="s">
        <v>1542</v>
      </c>
      <c r="D107" s="88" t="s">
        <v>18</v>
      </c>
      <c r="E107" s="35" t="s">
        <v>27</v>
      </c>
    </row>
    <row r="108" spans="2:5" hidden="1" x14ac:dyDescent="0.3">
      <c r="B108" s="34" t="s">
        <v>202</v>
      </c>
      <c r="C108" s="2" t="s">
        <v>1526</v>
      </c>
      <c r="D108" s="25" t="s">
        <v>22</v>
      </c>
      <c r="E108" s="35" t="s">
        <v>58</v>
      </c>
    </row>
    <row r="109" spans="2:5" hidden="1" x14ac:dyDescent="0.3">
      <c r="B109" s="34" t="s">
        <v>203</v>
      </c>
      <c r="C109" s="2" t="s">
        <v>204</v>
      </c>
      <c r="D109" s="25" t="s">
        <v>49</v>
      </c>
      <c r="E109" s="35" t="s">
        <v>104</v>
      </c>
    </row>
    <row r="110" spans="2:5" hidden="1" x14ac:dyDescent="0.3">
      <c r="B110" s="34" t="s">
        <v>205</v>
      </c>
      <c r="C110" s="2" t="s">
        <v>1551</v>
      </c>
      <c r="D110" s="25" t="s">
        <v>49</v>
      </c>
      <c r="E110" s="35" t="s">
        <v>10</v>
      </c>
    </row>
    <row r="111" spans="2:5" hidden="1" x14ac:dyDescent="0.3">
      <c r="B111" s="34" t="s">
        <v>207</v>
      </c>
      <c r="C111" s="2" t="s">
        <v>1514</v>
      </c>
      <c r="D111" s="25" t="s">
        <v>49</v>
      </c>
      <c r="E111" s="35" t="s">
        <v>53</v>
      </c>
    </row>
    <row r="112" spans="2:5" hidden="1" x14ac:dyDescent="0.3">
      <c r="B112" s="34" t="s">
        <v>208</v>
      </c>
      <c r="C112" s="48" t="s">
        <v>13</v>
      </c>
      <c r="D112" s="25"/>
      <c r="E112" s="35"/>
    </row>
    <row r="113" spans="2:5" hidden="1" x14ac:dyDescent="0.3">
      <c r="B113" s="34" t="s">
        <v>209</v>
      </c>
      <c r="C113" s="2" t="s">
        <v>210</v>
      </c>
      <c r="D113" s="25" t="s">
        <v>17</v>
      </c>
      <c r="E113" s="35" t="s">
        <v>10</v>
      </c>
    </row>
    <row r="114" spans="2:5" hidden="1" x14ac:dyDescent="0.3">
      <c r="B114" s="34" t="s">
        <v>211</v>
      </c>
      <c r="C114" s="2" t="s">
        <v>36</v>
      </c>
      <c r="D114" s="25"/>
      <c r="E114" s="35"/>
    </row>
    <row r="115" spans="2:5" hidden="1" x14ac:dyDescent="0.3">
      <c r="B115" s="34" t="s">
        <v>212</v>
      </c>
      <c r="C115" s="2" t="s">
        <v>36</v>
      </c>
      <c r="D115" s="25"/>
      <c r="E115" s="35"/>
    </row>
    <row r="116" spans="2:5" hidden="1" x14ac:dyDescent="0.3">
      <c r="B116" s="34" t="s">
        <v>213</v>
      </c>
      <c r="C116" s="2" t="s">
        <v>36</v>
      </c>
      <c r="D116" s="25"/>
      <c r="E116" s="35"/>
    </row>
    <row r="117" spans="2:5" hidden="1" x14ac:dyDescent="0.3">
      <c r="B117" s="34" t="s">
        <v>214</v>
      </c>
      <c r="C117" s="2" t="s">
        <v>215</v>
      </c>
      <c r="D117" s="25" t="s">
        <v>49</v>
      </c>
      <c r="E117" s="35" t="s">
        <v>1545</v>
      </c>
    </row>
    <row r="118" spans="2:5" hidden="1" x14ac:dyDescent="0.3">
      <c r="B118" s="34" t="s">
        <v>216</v>
      </c>
      <c r="C118" s="2" t="s">
        <v>36</v>
      </c>
      <c r="D118" s="25"/>
      <c r="E118" s="35"/>
    </row>
    <row r="119" spans="2:5" hidden="1" x14ac:dyDescent="0.3">
      <c r="B119" s="34" t="s">
        <v>217</v>
      </c>
      <c r="C119" s="2" t="s">
        <v>36</v>
      </c>
      <c r="D119" s="25"/>
      <c r="E119" s="35"/>
    </row>
    <row r="120" spans="2:5" hidden="1" x14ac:dyDescent="0.3">
      <c r="B120" s="34" t="s">
        <v>218</v>
      </c>
      <c r="C120" s="2" t="s">
        <v>219</v>
      </c>
      <c r="D120" s="25" t="s">
        <v>49</v>
      </c>
      <c r="E120" s="35" t="s">
        <v>104</v>
      </c>
    </row>
    <row r="121" spans="2:5" hidden="1" x14ac:dyDescent="0.3">
      <c r="B121" s="34" t="s">
        <v>220</v>
      </c>
      <c r="C121" s="48" t="s">
        <v>36</v>
      </c>
      <c r="D121" s="25"/>
      <c r="E121" s="35"/>
    </row>
    <row r="122" spans="2:5" hidden="1" x14ac:dyDescent="0.3">
      <c r="B122" s="34" t="s">
        <v>221</v>
      </c>
      <c r="C122" s="2" t="s">
        <v>1577</v>
      </c>
      <c r="D122" s="25" t="s">
        <v>1540</v>
      </c>
      <c r="E122" s="35" t="s">
        <v>10</v>
      </c>
    </row>
    <row r="123" spans="2:5" hidden="1" x14ac:dyDescent="0.3">
      <c r="B123" s="34" t="s">
        <v>222</v>
      </c>
      <c r="C123" s="2" t="s">
        <v>13</v>
      </c>
      <c r="D123" s="25"/>
      <c r="E123" s="35"/>
    </row>
    <row r="124" spans="2:5" hidden="1" x14ac:dyDescent="0.3">
      <c r="B124" s="34" t="s">
        <v>223</v>
      </c>
      <c r="C124" s="2" t="s">
        <v>224</v>
      </c>
      <c r="D124" s="25" t="s">
        <v>28</v>
      </c>
      <c r="E124" s="35" t="s">
        <v>104</v>
      </c>
    </row>
    <row r="125" spans="2:5" hidden="1" x14ac:dyDescent="0.3">
      <c r="B125" s="34" t="s">
        <v>225</v>
      </c>
      <c r="C125" s="2" t="s">
        <v>1527</v>
      </c>
      <c r="D125" s="25" t="s">
        <v>22</v>
      </c>
      <c r="E125" s="35" t="s">
        <v>162</v>
      </c>
    </row>
    <row r="126" spans="2:5" hidden="1" x14ac:dyDescent="0.3">
      <c r="B126" s="34" t="s">
        <v>226</v>
      </c>
      <c r="C126" s="2" t="s">
        <v>227</v>
      </c>
      <c r="D126" s="25" t="s">
        <v>49</v>
      </c>
      <c r="E126" s="35" t="s">
        <v>104</v>
      </c>
    </row>
    <row r="127" spans="2:5" hidden="1" x14ac:dyDescent="0.3">
      <c r="B127" s="34" t="s">
        <v>228</v>
      </c>
      <c r="C127" s="2" t="s">
        <v>229</v>
      </c>
      <c r="D127" s="25" t="s">
        <v>49</v>
      </c>
      <c r="E127" s="35" t="s">
        <v>58</v>
      </c>
    </row>
    <row r="128" spans="2:5" hidden="1" x14ac:dyDescent="0.3">
      <c r="B128" s="34" t="s">
        <v>230</v>
      </c>
      <c r="C128" s="2" t="s">
        <v>231</v>
      </c>
      <c r="D128" s="25" t="s">
        <v>49</v>
      </c>
      <c r="E128" s="35" t="s">
        <v>27</v>
      </c>
    </row>
    <row r="129" spans="2:5" hidden="1" x14ac:dyDescent="0.3">
      <c r="B129" s="34" t="s">
        <v>232</v>
      </c>
      <c r="C129" s="2" t="s">
        <v>233</v>
      </c>
      <c r="D129" s="25" t="s">
        <v>49</v>
      </c>
      <c r="E129" s="35" t="s">
        <v>104</v>
      </c>
    </row>
    <row r="130" spans="2:5" hidden="1" x14ac:dyDescent="0.3">
      <c r="B130" s="34" t="s">
        <v>234</v>
      </c>
      <c r="C130" s="2" t="s">
        <v>36</v>
      </c>
      <c r="D130" s="25"/>
      <c r="E130" s="35"/>
    </row>
    <row r="131" spans="2:5" hidden="1" x14ac:dyDescent="0.3">
      <c r="B131" s="34" t="s">
        <v>235</v>
      </c>
      <c r="C131" s="2" t="s">
        <v>236</v>
      </c>
      <c r="D131" s="25" t="s">
        <v>17</v>
      </c>
      <c r="E131" s="35" t="s">
        <v>27</v>
      </c>
    </row>
    <row r="132" spans="2:5" hidden="1" x14ac:dyDescent="0.3">
      <c r="B132" s="34" t="s">
        <v>237</v>
      </c>
      <c r="C132" s="2" t="s">
        <v>1517</v>
      </c>
      <c r="D132" s="25" t="s">
        <v>17</v>
      </c>
      <c r="E132" s="35" t="s">
        <v>70</v>
      </c>
    </row>
    <row r="133" spans="2:5" hidden="1" x14ac:dyDescent="0.3">
      <c r="B133" s="34" t="s">
        <v>238</v>
      </c>
      <c r="C133" s="2" t="s">
        <v>36</v>
      </c>
      <c r="D133" s="25"/>
      <c r="E133" s="35"/>
    </row>
    <row r="134" spans="2:5" hidden="1" x14ac:dyDescent="0.3">
      <c r="B134" s="34" t="s">
        <v>240</v>
      </c>
      <c r="C134" s="2" t="s">
        <v>241</v>
      </c>
      <c r="D134" s="25" t="s">
        <v>49</v>
      </c>
      <c r="E134" s="35" t="s">
        <v>53</v>
      </c>
    </row>
    <row r="135" spans="2:5" hidden="1" x14ac:dyDescent="0.3">
      <c r="B135" s="34" t="s">
        <v>242</v>
      </c>
      <c r="C135" s="2" t="s">
        <v>36</v>
      </c>
      <c r="D135" s="25"/>
      <c r="E135" s="35"/>
    </row>
    <row r="136" spans="2:5" hidden="1" x14ac:dyDescent="0.3">
      <c r="B136" s="34" t="s">
        <v>243</v>
      </c>
      <c r="C136" s="2" t="s">
        <v>244</v>
      </c>
      <c r="D136" s="25" t="s">
        <v>49</v>
      </c>
      <c r="E136" s="35" t="s">
        <v>108</v>
      </c>
    </row>
    <row r="137" spans="2:5" hidden="1" x14ac:dyDescent="0.3">
      <c r="B137" s="34" t="s">
        <v>245</v>
      </c>
      <c r="C137" s="2" t="s">
        <v>246</v>
      </c>
      <c r="D137" s="59" t="s">
        <v>49</v>
      </c>
      <c r="E137" s="35" t="s">
        <v>58</v>
      </c>
    </row>
    <row r="138" spans="2:5" hidden="1" x14ac:dyDescent="0.3">
      <c r="B138" s="34" t="s">
        <v>247</v>
      </c>
      <c r="C138" s="2" t="s">
        <v>13</v>
      </c>
      <c r="D138" s="25"/>
      <c r="E138" s="35"/>
    </row>
    <row r="139" spans="2:5" hidden="1" x14ac:dyDescent="0.3">
      <c r="B139" s="34" t="s">
        <v>248</v>
      </c>
      <c r="C139" s="2" t="s">
        <v>249</v>
      </c>
      <c r="D139" s="25" t="s">
        <v>49</v>
      </c>
      <c r="E139" s="35" t="s">
        <v>27</v>
      </c>
    </row>
    <row r="140" spans="2:5" hidden="1" x14ac:dyDescent="0.3">
      <c r="B140" s="34" t="s">
        <v>250</v>
      </c>
      <c r="C140" s="2" t="s">
        <v>1512</v>
      </c>
      <c r="D140" s="25" t="s">
        <v>49</v>
      </c>
      <c r="E140" s="35" t="s">
        <v>27</v>
      </c>
    </row>
    <row r="141" spans="2:5" hidden="1" x14ac:dyDescent="0.3">
      <c r="B141" s="34" t="s">
        <v>251</v>
      </c>
      <c r="C141" s="2" t="s">
        <v>252</v>
      </c>
      <c r="D141" s="25" t="s">
        <v>49</v>
      </c>
      <c r="E141" s="35" t="s">
        <v>253</v>
      </c>
    </row>
    <row r="142" spans="2:5" hidden="1" x14ac:dyDescent="0.3">
      <c r="B142" s="34" t="s">
        <v>254</v>
      </c>
      <c r="C142" s="2" t="s">
        <v>255</v>
      </c>
      <c r="D142" s="59" t="s">
        <v>49</v>
      </c>
      <c r="E142" s="50" t="s">
        <v>53</v>
      </c>
    </row>
    <row r="143" spans="2:5" hidden="1" x14ac:dyDescent="0.3">
      <c r="B143" s="34" t="s">
        <v>256</v>
      </c>
      <c r="C143" s="2" t="s">
        <v>257</v>
      </c>
      <c r="D143" s="25" t="s">
        <v>17</v>
      </c>
      <c r="E143" s="35" t="s">
        <v>98</v>
      </c>
    </row>
    <row r="144" spans="2:5" hidden="1" x14ac:dyDescent="0.3">
      <c r="B144" s="34" t="s">
        <v>258</v>
      </c>
      <c r="C144" s="2" t="s">
        <v>259</v>
      </c>
      <c r="D144" s="25" t="s">
        <v>49</v>
      </c>
      <c r="E144" s="35" t="s">
        <v>104</v>
      </c>
    </row>
    <row r="145" spans="2:5" hidden="1" x14ac:dyDescent="0.3">
      <c r="B145" s="34" t="s">
        <v>260</v>
      </c>
      <c r="C145" s="2" t="s">
        <v>36</v>
      </c>
      <c r="D145" s="25"/>
      <c r="E145" s="35"/>
    </row>
    <row r="146" spans="2:5" hidden="1" x14ac:dyDescent="0.3">
      <c r="B146" s="34" t="s">
        <v>261</v>
      </c>
      <c r="C146" s="2" t="s">
        <v>262</v>
      </c>
      <c r="D146" s="25" t="s">
        <v>49</v>
      </c>
      <c r="E146" s="35" t="s">
        <v>104</v>
      </c>
    </row>
    <row r="147" spans="2:5" hidden="1" x14ac:dyDescent="0.3">
      <c r="B147" s="34" t="s">
        <v>263</v>
      </c>
      <c r="C147" s="2" t="s">
        <v>1576</v>
      </c>
      <c r="D147" s="25" t="s">
        <v>1540</v>
      </c>
      <c r="E147" s="35" t="s">
        <v>10</v>
      </c>
    </row>
    <row r="148" spans="2:5" hidden="1" x14ac:dyDescent="0.3">
      <c r="B148" s="34" t="s">
        <v>264</v>
      </c>
      <c r="C148" s="2" t="s">
        <v>1575</v>
      </c>
      <c r="D148" s="59" t="s">
        <v>49</v>
      </c>
      <c r="E148" s="35" t="s">
        <v>27</v>
      </c>
    </row>
    <row r="149" spans="2:5" hidden="1" x14ac:dyDescent="0.3">
      <c r="B149" s="34" t="s">
        <v>265</v>
      </c>
      <c r="C149" s="2" t="s">
        <v>266</v>
      </c>
      <c r="D149" s="25" t="s">
        <v>49</v>
      </c>
      <c r="E149" s="35" t="s">
        <v>70</v>
      </c>
    </row>
    <row r="150" spans="2:5" hidden="1" x14ac:dyDescent="0.3">
      <c r="B150" s="34" t="s">
        <v>267</v>
      </c>
      <c r="C150" s="2" t="s">
        <v>268</v>
      </c>
      <c r="D150" s="25" t="s">
        <v>17</v>
      </c>
      <c r="E150" s="35" t="s">
        <v>10</v>
      </c>
    </row>
    <row r="151" spans="2:5" hidden="1" x14ac:dyDescent="0.3">
      <c r="B151" s="34" t="s">
        <v>269</v>
      </c>
      <c r="C151" s="2" t="s">
        <v>36</v>
      </c>
      <c r="D151" s="59"/>
      <c r="E151" s="35"/>
    </row>
    <row r="152" spans="2:5" hidden="1" x14ac:dyDescent="0.3">
      <c r="B152" s="34" t="s">
        <v>271</v>
      </c>
      <c r="C152" s="2" t="s">
        <v>1528</v>
      </c>
      <c r="D152" s="25" t="s">
        <v>22</v>
      </c>
      <c r="E152" s="35" t="s">
        <v>27</v>
      </c>
    </row>
    <row r="153" spans="2:5" hidden="1" x14ac:dyDescent="0.3">
      <c r="B153" s="34" t="s">
        <v>272</v>
      </c>
      <c r="C153" s="2" t="s">
        <v>273</v>
      </c>
      <c r="D153" s="25" t="s">
        <v>49</v>
      </c>
      <c r="E153" s="35" t="s">
        <v>1546</v>
      </c>
    </row>
    <row r="154" spans="2:5" hidden="1" x14ac:dyDescent="0.3">
      <c r="B154" s="34" t="s">
        <v>274</v>
      </c>
      <c r="C154" s="2" t="s">
        <v>36</v>
      </c>
      <c r="D154" s="25"/>
      <c r="E154" s="35"/>
    </row>
    <row r="155" spans="2:5" hidden="1" x14ac:dyDescent="0.3">
      <c r="B155" s="34" t="s">
        <v>275</v>
      </c>
      <c r="C155" s="2" t="s">
        <v>276</v>
      </c>
      <c r="D155" s="59" t="s">
        <v>49</v>
      </c>
      <c r="E155" s="35" t="s">
        <v>277</v>
      </c>
    </row>
    <row r="156" spans="2:5" x14ac:dyDescent="0.3">
      <c r="B156" s="34" t="s">
        <v>278</v>
      </c>
      <c r="C156" s="2" t="s">
        <v>1504</v>
      </c>
      <c r="D156" s="25" t="s">
        <v>49</v>
      </c>
      <c r="E156" s="35" t="s">
        <v>27</v>
      </c>
    </row>
    <row r="157" spans="2:5" hidden="1" x14ac:dyDescent="0.3">
      <c r="B157" s="34" t="s">
        <v>279</v>
      </c>
      <c r="C157" s="2" t="s">
        <v>36</v>
      </c>
      <c r="D157" s="25"/>
      <c r="E157" s="35"/>
    </row>
    <row r="158" spans="2:5" hidden="1" x14ac:dyDescent="0.3">
      <c r="B158" s="34" t="s">
        <v>280</v>
      </c>
      <c r="C158" s="2" t="s">
        <v>281</v>
      </c>
      <c r="D158" s="25" t="s">
        <v>17</v>
      </c>
      <c r="E158" s="35" t="s">
        <v>10</v>
      </c>
    </row>
    <row r="159" spans="2:5" hidden="1" x14ac:dyDescent="0.3">
      <c r="B159" s="34" t="s">
        <v>282</v>
      </c>
      <c r="C159" s="2" t="s">
        <v>283</v>
      </c>
      <c r="D159" s="25" t="s">
        <v>49</v>
      </c>
      <c r="E159" s="35" t="s">
        <v>1546</v>
      </c>
    </row>
    <row r="160" spans="2:5" hidden="1" x14ac:dyDescent="0.3">
      <c r="B160" s="34" t="s">
        <v>284</v>
      </c>
      <c r="C160" s="4" t="s">
        <v>36</v>
      </c>
      <c r="D160" s="25"/>
      <c r="E160" s="35"/>
    </row>
    <row r="161" spans="2:5" hidden="1" x14ac:dyDescent="0.3">
      <c r="B161" s="34" t="s">
        <v>285</v>
      </c>
      <c r="C161" s="55" t="s">
        <v>1572</v>
      </c>
      <c r="D161" s="62" t="s">
        <v>49</v>
      </c>
      <c r="E161" s="56"/>
    </row>
    <row r="162" spans="2:5" hidden="1" x14ac:dyDescent="0.3">
      <c r="B162" s="34" t="s">
        <v>286</v>
      </c>
      <c r="C162" s="2" t="s">
        <v>287</v>
      </c>
      <c r="D162" s="25" t="s">
        <v>49</v>
      </c>
      <c r="E162" s="35" t="s">
        <v>104</v>
      </c>
    </row>
    <row r="163" spans="2:5" hidden="1" x14ac:dyDescent="0.3">
      <c r="B163" s="34" t="s">
        <v>288</v>
      </c>
      <c r="C163" s="2" t="s">
        <v>1515</v>
      </c>
      <c r="D163" s="25" t="s">
        <v>49</v>
      </c>
      <c r="E163" s="35" t="s">
        <v>27</v>
      </c>
    </row>
    <row r="164" spans="2:5" hidden="1" x14ac:dyDescent="0.3">
      <c r="B164" s="34" t="s">
        <v>289</v>
      </c>
      <c r="C164" s="55" t="s">
        <v>36</v>
      </c>
      <c r="D164" s="62"/>
      <c r="E164" s="56"/>
    </row>
    <row r="165" spans="2:5" hidden="1" x14ac:dyDescent="0.3">
      <c r="B165" s="34" t="s">
        <v>290</v>
      </c>
      <c r="C165" s="2" t="s">
        <v>291</v>
      </c>
      <c r="D165" s="25" t="s">
        <v>49</v>
      </c>
      <c r="E165" s="35" t="s">
        <v>27</v>
      </c>
    </row>
    <row r="166" spans="2:5" hidden="1" x14ac:dyDescent="0.3">
      <c r="B166" s="34" t="s">
        <v>292</v>
      </c>
      <c r="C166" s="2" t="s">
        <v>293</v>
      </c>
      <c r="D166" s="25" t="s">
        <v>17</v>
      </c>
      <c r="E166" s="35" t="s">
        <v>10</v>
      </c>
    </row>
    <row r="167" spans="2:5" hidden="1" x14ac:dyDescent="0.3">
      <c r="B167" s="34" t="s">
        <v>294</v>
      </c>
      <c r="C167" s="2" t="s">
        <v>295</v>
      </c>
      <c r="D167" s="25" t="s">
        <v>49</v>
      </c>
      <c r="E167" s="35" t="s">
        <v>58</v>
      </c>
    </row>
    <row r="168" spans="2:5" hidden="1" x14ac:dyDescent="0.3">
      <c r="B168" s="34" t="s">
        <v>296</v>
      </c>
      <c r="C168" s="2" t="s">
        <v>297</v>
      </c>
      <c r="D168" s="25" t="s">
        <v>49</v>
      </c>
      <c r="E168" s="35" t="s">
        <v>58</v>
      </c>
    </row>
    <row r="169" spans="2:5" hidden="1" x14ac:dyDescent="0.3">
      <c r="B169" s="34" t="s">
        <v>298</v>
      </c>
      <c r="C169" s="2" t="s">
        <v>299</v>
      </c>
      <c r="D169" s="25" t="s">
        <v>17</v>
      </c>
      <c r="E169" s="35" t="s">
        <v>27</v>
      </c>
    </row>
    <row r="170" spans="2:5" hidden="1" x14ac:dyDescent="0.3">
      <c r="B170" s="34" t="s">
        <v>300</v>
      </c>
      <c r="C170" s="2" t="s">
        <v>301</v>
      </c>
      <c r="D170" s="25" t="s">
        <v>49</v>
      </c>
      <c r="E170" s="35" t="s">
        <v>1545</v>
      </c>
    </row>
    <row r="171" spans="2:5" hidden="1" x14ac:dyDescent="0.3">
      <c r="B171" s="34" t="s">
        <v>302</v>
      </c>
      <c r="C171" s="2" t="s">
        <v>303</v>
      </c>
      <c r="D171" s="25" t="s">
        <v>49</v>
      </c>
      <c r="E171" s="35" t="s">
        <v>304</v>
      </c>
    </row>
    <row r="172" spans="2:5" hidden="1" x14ac:dyDescent="0.3">
      <c r="B172" s="34" t="s">
        <v>305</v>
      </c>
      <c r="C172" s="2" t="s">
        <v>306</v>
      </c>
      <c r="D172" s="25" t="s">
        <v>49</v>
      </c>
      <c r="E172" s="35" t="s">
        <v>1545</v>
      </c>
    </row>
    <row r="173" spans="2:5" hidden="1" x14ac:dyDescent="0.3">
      <c r="B173" s="34" t="s">
        <v>307</v>
      </c>
      <c r="C173" s="2" t="s">
        <v>308</v>
      </c>
      <c r="D173" s="25" t="s">
        <v>49</v>
      </c>
      <c r="E173" s="35" t="s">
        <v>27</v>
      </c>
    </row>
    <row r="174" spans="2:5" hidden="1" x14ac:dyDescent="0.3">
      <c r="B174" s="34" t="s">
        <v>309</v>
      </c>
      <c r="C174" s="2" t="s">
        <v>310</v>
      </c>
      <c r="D174" s="25" t="s">
        <v>49</v>
      </c>
      <c r="E174" s="35" t="s">
        <v>62</v>
      </c>
    </row>
    <row r="175" spans="2:5" hidden="1" x14ac:dyDescent="0.3">
      <c r="B175" s="34" t="s">
        <v>311</v>
      </c>
      <c r="C175" s="2" t="s">
        <v>312</v>
      </c>
      <c r="D175" s="25" t="s">
        <v>49</v>
      </c>
      <c r="E175" s="35" t="s">
        <v>313</v>
      </c>
    </row>
    <row r="176" spans="2:5" hidden="1" x14ac:dyDescent="0.3">
      <c r="B176" s="34" t="s">
        <v>314</v>
      </c>
      <c r="C176" s="2" t="s">
        <v>315</v>
      </c>
      <c r="D176" s="25" t="s">
        <v>49</v>
      </c>
      <c r="E176" s="35" t="s">
        <v>58</v>
      </c>
    </row>
    <row r="177" spans="2:5" hidden="1" x14ac:dyDescent="0.3">
      <c r="B177" s="34" t="s">
        <v>316</v>
      </c>
      <c r="C177" s="2" t="s">
        <v>317</v>
      </c>
      <c r="D177" s="59" t="s">
        <v>49</v>
      </c>
      <c r="E177" s="35" t="s">
        <v>190</v>
      </c>
    </row>
    <row r="178" spans="2:5" hidden="1" x14ac:dyDescent="0.3">
      <c r="B178" s="34" t="s">
        <v>318</v>
      </c>
      <c r="C178" s="38" t="s">
        <v>319</v>
      </c>
      <c r="D178" s="25" t="s">
        <v>49</v>
      </c>
      <c r="E178" s="35" t="s">
        <v>27</v>
      </c>
    </row>
    <row r="179" spans="2:5" hidden="1" x14ac:dyDescent="0.3">
      <c r="B179" s="34" t="s">
        <v>320</v>
      </c>
      <c r="C179" s="2" t="s">
        <v>321</v>
      </c>
      <c r="D179" s="25" t="s">
        <v>49</v>
      </c>
      <c r="E179" s="35" t="s">
        <v>104</v>
      </c>
    </row>
    <row r="180" spans="2:5" hidden="1" x14ac:dyDescent="0.3">
      <c r="B180" s="34" t="s">
        <v>322</v>
      </c>
      <c r="C180" s="85" t="s">
        <v>323</v>
      </c>
      <c r="D180" s="86" t="s">
        <v>1540</v>
      </c>
      <c r="E180" s="87" t="s">
        <v>10</v>
      </c>
    </row>
    <row r="181" spans="2:5" hidden="1" x14ac:dyDescent="0.3">
      <c r="B181" s="34" t="s">
        <v>324</v>
      </c>
      <c r="C181" s="2" t="s">
        <v>325</v>
      </c>
      <c r="D181" s="25" t="s">
        <v>28</v>
      </c>
      <c r="E181" s="35" t="s">
        <v>104</v>
      </c>
    </row>
    <row r="182" spans="2:5" hidden="1" x14ac:dyDescent="0.3">
      <c r="B182" s="34" t="s">
        <v>326</v>
      </c>
      <c r="C182" s="2" t="s">
        <v>327</v>
      </c>
      <c r="D182" s="25" t="s">
        <v>22</v>
      </c>
      <c r="E182" s="35" t="s">
        <v>104</v>
      </c>
    </row>
    <row r="183" spans="2:5" hidden="1" x14ac:dyDescent="0.3">
      <c r="B183" s="34" t="s">
        <v>328</v>
      </c>
      <c r="C183" s="2" t="s">
        <v>329</v>
      </c>
      <c r="D183" s="25" t="s">
        <v>49</v>
      </c>
      <c r="E183" s="35" t="s">
        <v>104</v>
      </c>
    </row>
    <row r="184" spans="2:5" hidden="1" x14ac:dyDescent="0.3">
      <c r="B184" s="34" t="s">
        <v>330</v>
      </c>
      <c r="C184" s="2" t="s">
        <v>331</v>
      </c>
      <c r="D184" s="59" t="s">
        <v>49</v>
      </c>
      <c r="E184" s="35" t="s">
        <v>313</v>
      </c>
    </row>
    <row r="185" spans="2:5" hidden="1" x14ac:dyDescent="0.3">
      <c r="B185" s="34" t="s">
        <v>332</v>
      </c>
      <c r="C185" s="2" t="s">
        <v>333</v>
      </c>
      <c r="D185" s="25" t="s">
        <v>49</v>
      </c>
      <c r="E185" s="35" t="s">
        <v>334</v>
      </c>
    </row>
    <row r="186" spans="2:5" hidden="1" x14ac:dyDescent="0.3">
      <c r="B186" s="34" t="s">
        <v>335</v>
      </c>
      <c r="C186" s="2" t="s">
        <v>336</v>
      </c>
      <c r="D186" s="25" t="s">
        <v>49</v>
      </c>
      <c r="E186" s="35" t="s">
        <v>70</v>
      </c>
    </row>
    <row r="187" spans="2:5" hidden="1" x14ac:dyDescent="0.3">
      <c r="B187" s="34" t="s">
        <v>337</v>
      </c>
      <c r="C187" s="2" t="s">
        <v>338</v>
      </c>
      <c r="D187" s="25" t="s">
        <v>49</v>
      </c>
      <c r="E187" s="35" t="s">
        <v>104</v>
      </c>
    </row>
    <row r="188" spans="2:5" hidden="1" x14ac:dyDescent="0.3">
      <c r="B188" s="34" t="s">
        <v>339</v>
      </c>
      <c r="C188" s="2" t="s">
        <v>1559</v>
      </c>
      <c r="D188" s="59" t="s">
        <v>49</v>
      </c>
      <c r="E188" s="35" t="s">
        <v>27</v>
      </c>
    </row>
    <row r="189" spans="2:5" hidden="1" x14ac:dyDescent="0.3">
      <c r="B189" s="34" t="s">
        <v>340</v>
      </c>
      <c r="C189" s="2" t="s">
        <v>341</v>
      </c>
      <c r="D189" s="59" t="s">
        <v>49</v>
      </c>
      <c r="E189" s="35" t="s">
        <v>27</v>
      </c>
    </row>
    <row r="190" spans="2:5" hidden="1" x14ac:dyDescent="0.3">
      <c r="B190" s="34" t="s">
        <v>342</v>
      </c>
      <c r="C190" s="2" t="s">
        <v>343</v>
      </c>
      <c r="D190" s="25" t="s">
        <v>49</v>
      </c>
      <c r="E190" s="35" t="s">
        <v>58</v>
      </c>
    </row>
    <row r="191" spans="2:5" hidden="1" x14ac:dyDescent="0.3">
      <c r="B191" s="34" t="s">
        <v>344</v>
      </c>
      <c r="C191" s="4" t="s">
        <v>1520</v>
      </c>
      <c r="D191" s="25" t="s">
        <v>22</v>
      </c>
      <c r="E191" s="35" t="s">
        <v>304</v>
      </c>
    </row>
    <row r="192" spans="2:5" hidden="1" x14ac:dyDescent="0.3">
      <c r="B192" s="34" t="s">
        <v>345</v>
      </c>
      <c r="C192" s="4" t="s">
        <v>36</v>
      </c>
      <c r="D192" s="60"/>
      <c r="E192" s="35"/>
    </row>
    <row r="193" spans="2:5" hidden="1" x14ac:dyDescent="0.3">
      <c r="B193" s="34" t="s">
        <v>346</v>
      </c>
      <c r="C193" s="2" t="s">
        <v>347</v>
      </c>
      <c r="D193" s="25" t="s">
        <v>22</v>
      </c>
      <c r="E193" s="35" t="s">
        <v>53</v>
      </c>
    </row>
    <row r="194" spans="2:5" hidden="1" x14ac:dyDescent="0.3">
      <c r="B194" s="34" t="s">
        <v>348</v>
      </c>
      <c r="C194" s="2" t="s">
        <v>142</v>
      </c>
      <c r="D194" s="25" t="s">
        <v>349</v>
      </c>
      <c r="E194" s="35" t="s">
        <v>108</v>
      </c>
    </row>
    <row r="195" spans="2:5" hidden="1" x14ac:dyDescent="0.3">
      <c r="B195" s="34" t="s">
        <v>350</v>
      </c>
      <c r="C195" s="53" t="s">
        <v>36</v>
      </c>
      <c r="D195" s="59"/>
      <c r="E195" s="54"/>
    </row>
    <row r="196" spans="2:5" hidden="1" x14ac:dyDescent="0.3">
      <c r="B196" s="34" t="s">
        <v>351</v>
      </c>
      <c r="C196" s="2" t="s">
        <v>131</v>
      </c>
      <c r="D196" s="59" t="s">
        <v>49</v>
      </c>
      <c r="E196" s="39" t="s">
        <v>313</v>
      </c>
    </row>
    <row r="197" spans="2:5" hidden="1" x14ac:dyDescent="0.3">
      <c r="B197" s="34" t="s">
        <v>352</v>
      </c>
      <c r="C197" s="2" t="s">
        <v>353</v>
      </c>
      <c r="D197" s="25" t="s">
        <v>49</v>
      </c>
      <c r="E197" s="35" t="s">
        <v>104</v>
      </c>
    </row>
    <row r="198" spans="2:5" hidden="1" x14ac:dyDescent="0.3">
      <c r="B198" s="34" t="s">
        <v>354</v>
      </c>
      <c r="C198" s="2" t="s">
        <v>355</v>
      </c>
      <c r="D198" s="25" t="s">
        <v>49</v>
      </c>
      <c r="E198" s="35" t="s">
        <v>104</v>
      </c>
    </row>
    <row r="199" spans="2:5" hidden="1" x14ac:dyDescent="0.3">
      <c r="B199" s="34" t="s">
        <v>356</v>
      </c>
      <c r="C199" s="2" t="s">
        <v>357</v>
      </c>
      <c r="D199" s="25" t="s">
        <v>49</v>
      </c>
      <c r="E199" s="39" t="s">
        <v>58</v>
      </c>
    </row>
    <row r="200" spans="2:5" hidden="1" x14ac:dyDescent="0.3">
      <c r="B200" s="34" t="s">
        <v>358</v>
      </c>
      <c r="C200" s="2" t="s">
        <v>36</v>
      </c>
      <c r="D200" s="25"/>
      <c r="E200" s="35"/>
    </row>
    <row r="201" spans="2:5" hidden="1" x14ac:dyDescent="0.3">
      <c r="B201" s="34" t="s">
        <v>359</v>
      </c>
      <c r="C201" s="2" t="s">
        <v>360</v>
      </c>
      <c r="D201" s="59" t="s">
        <v>17</v>
      </c>
      <c r="E201" s="39" t="s">
        <v>10</v>
      </c>
    </row>
    <row r="202" spans="2:5" hidden="1" x14ac:dyDescent="0.3">
      <c r="B202" s="34" t="s">
        <v>361</v>
      </c>
      <c r="C202" s="2" t="s">
        <v>362</v>
      </c>
      <c r="D202" s="25" t="s">
        <v>17</v>
      </c>
      <c r="E202" s="35" t="s">
        <v>10</v>
      </c>
    </row>
    <row r="203" spans="2:5" hidden="1" x14ac:dyDescent="0.3">
      <c r="B203" s="34" t="s">
        <v>363</v>
      </c>
      <c r="C203" s="53" t="s">
        <v>36</v>
      </c>
      <c r="D203" s="59"/>
      <c r="E203" s="54"/>
    </row>
    <row r="204" spans="2:5" hidden="1" x14ac:dyDescent="0.3">
      <c r="B204" s="34" t="s">
        <v>364</v>
      </c>
      <c r="C204" s="2" t="s">
        <v>1518</v>
      </c>
      <c r="D204" s="62" t="s">
        <v>17</v>
      </c>
      <c r="E204" s="35" t="s">
        <v>10</v>
      </c>
    </row>
    <row r="205" spans="2:5" hidden="1" x14ac:dyDescent="0.3">
      <c r="B205" s="34" t="s">
        <v>365</v>
      </c>
      <c r="C205" s="2" t="s">
        <v>36</v>
      </c>
      <c r="D205" s="25"/>
      <c r="E205" s="35"/>
    </row>
    <row r="206" spans="2:5" hidden="1" x14ac:dyDescent="0.3">
      <c r="B206" s="34" t="s">
        <v>366</v>
      </c>
      <c r="C206" s="2" t="s">
        <v>367</v>
      </c>
      <c r="D206" s="63" t="s">
        <v>17</v>
      </c>
      <c r="E206" s="39" t="s">
        <v>10</v>
      </c>
    </row>
    <row r="207" spans="2:5" hidden="1" x14ac:dyDescent="0.3">
      <c r="B207" s="34" t="s">
        <v>368</v>
      </c>
      <c r="C207" s="2" t="s">
        <v>36</v>
      </c>
      <c r="D207" s="25"/>
      <c r="E207" s="35"/>
    </row>
    <row r="208" spans="2:5" hidden="1" x14ac:dyDescent="0.3">
      <c r="B208" s="34" t="s">
        <v>369</v>
      </c>
      <c r="C208" s="2" t="s">
        <v>36</v>
      </c>
      <c r="D208" s="59"/>
      <c r="E208" s="39"/>
    </row>
    <row r="209" spans="2:5" hidden="1" x14ac:dyDescent="0.3">
      <c r="B209" s="34" t="s">
        <v>370</v>
      </c>
      <c r="C209" s="2" t="s">
        <v>1511</v>
      </c>
      <c r="D209" s="25" t="s">
        <v>49</v>
      </c>
      <c r="E209" s="39" t="s">
        <v>27</v>
      </c>
    </row>
    <row r="210" spans="2:5" hidden="1" x14ac:dyDescent="0.3">
      <c r="B210" s="34" t="s">
        <v>371</v>
      </c>
      <c r="C210" s="48" t="s">
        <v>36</v>
      </c>
      <c r="D210" s="25"/>
      <c r="E210" s="39"/>
    </row>
    <row r="211" spans="2:5" hidden="1" x14ac:dyDescent="0.3">
      <c r="B211" s="34" t="s">
        <v>372</v>
      </c>
      <c r="C211" s="2" t="s">
        <v>1560</v>
      </c>
      <c r="D211" s="25" t="s">
        <v>49</v>
      </c>
      <c r="E211" s="35" t="s">
        <v>27</v>
      </c>
    </row>
    <row r="212" spans="2:5" hidden="1" x14ac:dyDescent="0.3">
      <c r="B212" s="34" t="s">
        <v>373</v>
      </c>
      <c r="C212" s="2" t="s">
        <v>227</v>
      </c>
      <c r="D212" s="25" t="s">
        <v>49</v>
      </c>
      <c r="E212" s="35" t="s">
        <v>104</v>
      </c>
    </row>
    <row r="213" spans="2:5" hidden="1" x14ac:dyDescent="0.3">
      <c r="B213" s="34" t="s">
        <v>374</v>
      </c>
      <c r="C213" s="4" t="s">
        <v>375</v>
      </c>
      <c r="D213" s="64" t="s">
        <v>49</v>
      </c>
      <c r="E213" s="35" t="s">
        <v>1546</v>
      </c>
    </row>
    <row r="214" spans="2:5" hidden="1" x14ac:dyDescent="0.3">
      <c r="B214" s="34" t="s">
        <v>376</v>
      </c>
      <c r="C214" s="2" t="s">
        <v>377</v>
      </c>
      <c r="D214" s="25" t="s">
        <v>49</v>
      </c>
      <c r="E214" s="35" t="s">
        <v>104</v>
      </c>
    </row>
    <row r="215" spans="2:5" hidden="1" x14ac:dyDescent="0.3">
      <c r="B215" s="34" t="s">
        <v>378</v>
      </c>
      <c r="C215" s="2" t="s">
        <v>379</v>
      </c>
      <c r="D215" s="25" t="s">
        <v>49</v>
      </c>
      <c r="E215" s="35" t="s">
        <v>313</v>
      </c>
    </row>
    <row r="216" spans="2:5" hidden="1" x14ac:dyDescent="0.3">
      <c r="B216" s="34" t="s">
        <v>380</v>
      </c>
      <c r="C216" s="4" t="s">
        <v>36</v>
      </c>
      <c r="D216" s="25"/>
      <c r="E216" s="35"/>
    </row>
    <row r="217" spans="2:5" hidden="1" x14ac:dyDescent="0.3">
      <c r="B217" s="34" t="s">
        <v>381</v>
      </c>
      <c r="C217" s="2" t="s">
        <v>1510</v>
      </c>
      <c r="D217" s="59" t="s">
        <v>49</v>
      </c>
      <c r="E217" s="35" t="s">
        <v>27</v>
      </c>
    </row>
    <row r="218" spans="2:5" hidden="1" x14ac:dyDescent="0.3">
      <c r="B218" s="34" t="s">
        <v>382</v>
      </c>
      <c r="C218" s="2" t="s">
        <v>36</v>
      </c>
      <c r="D218" s="25"/>
      <c r="E218" s="35"/>
    </row>
    <row r="219" spans="2:5" hidden="1" x14ac:dyDescent="0.3">
      <c r="B219" s="34" t="s">
        <v>383</v>
      </c>
      <c r="C219" s="2" t="s">
        <v>384</v>
      </c>
      <c r="D219" s="25" t="s">
        <v>49</v>
      </c>
      <c r="E219" s="35" t="s">
        <v>53</v>
      </c>
    </row>
    <row r="220" spans="2:5" hidden="1" x14ac:dyDescent="0.3">
      <c r="B220" s="34" t="s">
        <v>385</v>
      </c>
      <c r="C220" s="2" t="s">
        <v>386</v>
      </c>
      <c r="D220" s="25" t="s">
        <v>49</v>
      </c>
      <c r="E220" s="35" t="s">
        <v>10</v>
      </c>
    </row>
    <row r="221" spans="2:5" hidden="1" x14ac:dyDescent="0.3">
      <c r="B221" s="34" t="s">
        <v>387</v>
      </c>
      <c r="C221" s="2" t="s">
        <v>388</v>
      </c>
      <c r="D221" s="25" t="s">
        <v>22</v>
      </c>
      <c r="E221" s="35" t="s">
        <v>53</v>
      </c>
    </row>
    <row r="222" spans="2:5" hidden="1" x14ac:dyDescent="0.3">
      <c r="B222" s="34" t="s">
        <v>389</v>
      </c>
      <c r="C222" s="2" t="s">
        <v>1547</v>
      </c>
      <c r="D222" s="25" t="s">
        <v>22</v>
      </c>
      <c r="E222" s="35" t="s">
        <v>1545</v>
      </c>
    </row>
    <row r="223" spans="2:5" hidden="1" x14ac:dyDescent="0.3">
      <c r="B223" s="34" t="s">
        <v>390</v>
      </c>
      <c r="C223" s="2" t="s">
        <v>391</v>
      </c>
      <c r="D223" s="25" t="s">
        <v>22</v>
      </c>
      <c r="E223" s="35" t="s">
        <v>104</v>
      </c>
    </row>
    <row r="224" spans="2:5" hidden="1" x14ac:dyDescent="0.3">
      <c r="B224" s="34" t="s">
        <v>392</v>
      </c>
      <c r="C224" s="2" t="s">
        <v>393</v>
      </c>
      <c r="D224" s="25" t="s">
        <v>49</v>
      </c>
      <c r="E224" s="35" t="s">
        <v>104</v>
      </c>
    </row>
    <row r="225" spans="2:5" hidden="1" x14ac:dyDescent="0.3">
      <c r="B225" s="34" t="s">
        <v>394</v>
      </c>
      <c r="C225" s="2" t="s">
        <v>395</v>
      </c>
      <c r="D225" s="25" t="s">
        <v>49</v>
      </c>
      <c r="E225" s="35" t="s">
        <v>27</v>
      </c>
    </row>
    <row r="226" spans="2:5" hidden="1" x14ac:dyDescent="0.3">
      <c r="B226" s="34" t="s">
        <v>396</v>
      </c>
      <c r="C226" s="2" t="s">
        <v>397</v>
      </c>
      <c r="D226" s="25" t="s">
        <v>49</v>
      </c>
      <c r="E226" s="35" t="s">
        <v>27</v>
      </c>
    </row>
    <row r="227" spans="2:5" hidden="1" x14ac:dyDescent="0.3">
      <c r="B227" s="34" t="s">
        <v>398</v>
      </c>
      <c r="C227" s="2" t="s">
        <v>399</v>
      </c>
      <c r="D227" s="88" t="s">
        <v>18</v>
      </c>
      <c r="E227" s="35" t="s">
        <v>27</v>
      </c>
    </row>
    <row r="228" spans="2:5" hidden="1" x14ac:dyDescent="0.3">
      <c r="B228" s="34" t="s">
        <v>400</v>
      </c>
      <c r="C228" s="18" t="s">
        <v>36</v>
      </c>
      <c r="D228" s="27"/>
      <c r="E228" s="56"/>
    </row>
    <row r="229" spans="2:5" hidden="1" x14ac:dyDescent="0.3">
      <c r="B229" s="34" t="s">
        <v>401</v>
      </c>
      <c r="C229" s="2" t="s">
        <v>1513</v>
      </c>
      <c r="D229" s="25" t="s">
        <v>49</v>
      </c>
      <c r="E229" s="35" t="s">
        <v>53</v>
      </c>
    </row>
    <row r="230" spans="2:5" hidden="1" x14ac:dyDescent="0.3">
      <c r="B230" s="34" t="s">
        <v>402</v>
      </c>
      <c r="C230" s="2" t="s">
        <v>36</v>
      </c>
      <c r="D230" s="25"/>
      <c r="E230" s="35"/>
    </row>
    <row r="231" spans="2:5" hidden="1" x14ac:dyDescent="0.3">
      <c r="B231" s="34" t="s">
        <v>403</v>
      </c>
      <c r="C231" s="2" t="s">
        <v>36</v>
      </c>
      <c r="D231" s="25"/>
      <c r="E231" s="35"/>
    </row>
    <row r="232" spans="2:5" hidden="1" x14ac:dyDescent="0.3">
      <c r="B232" s="34" t="s">
        <v>404</v>
      </c>
      <c r="C232" s="2" t="s">
        <v>195</v>
      </c>
      <c r="D232" s="88" t="s">
        <v>18</v>
      </c>
      <c r="E232" s="35" t="s">
        <v>27</v>
      </c>
    </row>
    <row r="233" spans="2:5" hidden="1" x14ac:dyDescent="0.3">
      <c r="B233" s="34" t="s">
        <v>405</v>
      </c>
      <c r="C233" s="2" t="s">
        <v>36</v>
      </c>
      <c r="D233" s="25"/>
      <c r="E233" s="35"/>
    </row>
    <row r="234" spans="2:5" hidden="1" x14ac:dyDescent="0.3">
      <c r="B234" s="34" t="s">
        <v>406</v>
      </c>
      <c r="C234" s="38" t="s">
        <v>407</v>
      </c>
      <c r="D234" s="25" t="s">
        <v>49</v>
      </c>
      <c r="E234" s="35" t="s">
        <v>1545</v>
      </c>
    </row>
    <row r="235" spans="2:5" hidden="1" x14ac:dyDescent="0.3">
      <c r="B235" s="34" t="s">
        <v>408</v>
      </c>
      <c r="C235" s="2" t="s">
        <v>36</v>
      </c>
      <c r="D235" s="25"/>
      <c r="E235" s="35"/>
    </row>
    <row r="236" spans="2:5" hidden="1" x14ac:dyDescent="0.3">
      <c r="B236" s="34" t="s">
        <v>409</v>
      </c>
      <c r="C236" s="2" t="s">
        <v>410</v>
      </c>
      <c r="D236" s="59" t="s">
        <v>49</v>
      </c>
      <c r="E236" s="35" t="s">
        <v>27</v>
      </c>
    </row>
    <row r="237" spans="2:5" hidden="1" x14ac:dyDescent="0.3">
      <c r="B237" s="34" t="s">
        <v>411</v>
      </c>
      <c r="C237" s="2" t="s">
        <v>367</v>
      </c>
      <c r="D237" s="25" t="s">
        <v>49</v>
      </c>
      <c r="E237" s="35" t="s">
        <v>10</v>
      </c>
    </row>
    <row r="238" spans="2:5" hidden="1" x14ac:dyDescent="0.3">
      <c r="B238" s="34" t="s">
        <v>412</v>
      </c>
      <c r="C238" s="2" t="s">
        <v>413</v>
      </c>
      <c r="D238" s="25" t="s">
        <v>49</v>
      </c>
      <c r="E238" s="35" t="s">
        <v>10</v>
      </c>
    </row>
    <row r="239" spans="2:5" hidden="1" x14ac:dyDescent="0.3">
      <c r="B239" s="34" t="s">
        <v>414</v>
      </c>
      <c r="C239" s="51" t="s">
        <v>36</v>
      </c>
      <c r="D239" s="59"/>
      <c r="E239" s="52"/>
    </row>
    <row r="240" spans="2:5" hidden="1" x14ac:dyDescent="0.3">
      <c r="B240" s="34" t="s">
        <v>415</v>
      </c>
      <c r="C240" s="2" t="s">
        <v>416</v>
      </c>
      <c r="D240" s="25" t="s">
        <v>49</v>
      </c>
      <c r="E240" s="35" t="s">
        <v>313</v>
      </c>
    </row>
    <row r="241" spans="2:5" hidden="1" x14ac:dyDescent="0.3">
      <c r="B241" s="34" t="s">
        <v>417</v>
      </c>
      <c r="C241" s="2" t="s">
        <v>418</v>
      </c>
      <c r="D241" s="25" t="s">
        <v>49</v>
      </c>
      <c r="E241" s="35" t="s">
        <v>27</v>
      </c>
    </row>
    <row r="242" spans="2:5" hidden="1" x14ac:dyDescent="0.3">
      <c r="B242" s="34" t="s">
        <v>419</v>
      </c>
      <c r="C242" s="2" t="s">
        <v>420</v>
      </c>
      <c r="D242" s="59" t="s">
        <v>49</v>
      </c>
      <c r="E242" s="35" t="s">
        <v>206</v>
      </c>
    </row>
    <row r="243" spans="2:5" hidden="1" x14ac:dyDescent="0.3">
      <c r="B243" s="34" t="s">
        <v>421</v>
      </c>
      <c r="C243" s="40" t="s">
        <v>36</v>
      </c>
      <c r="D243" s="25"/>
      <c r="E243" s="35"/>
    </row>
    <row r="244" spans="2:5" hidden="1" x14ac:dyDescent="0.3">
      <c r="B244" s="34" t="s">
        <v>422</v>
      </c>
      <c r="C244" s="2" t="s">
        <v>423</v>
      </c>
      <c r="D244" s="25" t="s">
        <v>17</v>
      </c>
      <c r="E244" s="35" t="s">
        <v>10</v>
      </c>
    </row>
    <row r="245" spans="2:5" hidden="1" x14ac:dyDescent="0.3">
      <c r="B245" s="34" t="s">
        <v>424</v>
      </c>
      <c r="C245" s="2" t="s">
        <v>425</v>
      </c>
      <c r="D245" s="59" t="s">
        <v>49</v>
      </c>
      <c r="E245" s="35" t="s">
        <v>53</v>
      </c>
    </row>
    <row r="246" spans="2:5" hidden="1" x14ac:dyDescent="0.3">
      <c r="B246" s="34" t="s">
        <v>426</v>
      </c>
      <c r="C246" s="19" t="s">
        <v>36</v>
      </c>
      <c r="D246" s="65"/>
      <c r="E246" s="46"/>
    </row>
    <row r="247" spans="2:5" hidden="1" x14ac:dyDescent="0.3">
      <c r="B247" s="34" t="s">
        <v>427</v>
      </c>
      <c r="C247" s="2" t="s">
        <v>428</v>
      </c>
      <c r="D247" s="25" t="s">
        <v>17</v>
      </c>
      <c r="E247" s="35" t="s">
        <v>10</v>
      </c>
    </row>
    <row r="248" spans="2:5" hidden="1" x14ac:dyDescent="0.3">
      <c r="B248" s="34" t="s">
        <v>429</v>
      </c>
      <c r="C248" s="2" t="s">
        <v>430</v>
      </c>
      <c r="D248" s="59" t="s">
        <v>49</v>
      </c>
      <c r="E248" s="35" t="s">
        <v>313</v>
      </c>
    </row>
    <row r="249" spans="2:5" hidden="1" x14ac:dyDescent="0.3">
      <c r="B249" s="34" t="s">
        <v>431</v>
      </c>
      <c r="C249" s="2" t="s">
        <v>432</v>
      </c>
      <c r="D249" s="25" t="s">
        <v>17</v>
      </c>
      <c r="E249" s="35" t="s">
        <v>10</v>
      </c>
    </row>
    <row r="250" spans="2:5" hidden="1" x14ac:dyDescent="0.3">
      <c r="B250" s="34" t="s">
        <v>433</v>
      </c>
      <c r="C250" s="4" t="s">
        <v>434</v>
      </c>
      <c r="D250" s="25" t="s">
        <v>17</v>
      </c>
      <c r="E250" s="35" t="s">
        <v>10</v>
      </c>
    </row>
    <row r="251" spans="2:5" hidden="1" x14ac:dyDescent="0.3">
      <c r="B251" s="34" t="s">
        <v>435</v>
      </c>
      <c r="C251" s="2" t="s">
        <v>436</v>
      </c>
      <c r="D251" s="25" t="s">
        <v>17</v>
      </c>
      <c r="E251" s="35" t="s">
        <v>10</v>
      </c>
    </row>
    <row r="252" spans="2:5" hidden="1" x14ac:dyDescent="0.3">
      <c r="B252" s="34" t="s">
        <v>437</v>
      </c>
      <c r="C252" s="4" t="s">
        <v>434</v>
      </c>
      <c r="D252" s="25" t="s">
        <v>17</v>
      </c>
      <c r="E252" s="35" t="s">
        <v>10</v>
      </c>
    </row>
    <row r="253" spans="2:5" hidden="1" x14ac:dyDescent="0.3">
      <c r="B253" s="34" t="s">
        <v>438</v>
      </c>
      <c r="C253" s="2" t="s">
        <v>439</v>
      </c>
      <c r="D253" s="25" t="s">
        <v>17</v>
      </c>
      <c r="E253" s="35" t="s">
        <v>10</v>
      </c>
    </row>
    <row r="254" spans="2:5" hidden="1" x14ac:dyDescent="0.3">
      <c r="B254" s="34" t="s">
        <v>440</v>
      </c>
      <c r="C254" s="2" t="s">
        <v>1541</v>
      </c>
      <c r="D254" s="59" t="s">
        <v>17</v>
      </c>
      <c r="E254" s="35" t="s">
        <v>10</v>
      </c>
    </row>
    <row r="255" spans="2:5" hidden="1" x14ac:dyDescent="0.3">
      <c r="B255" s="34" t="s">
        <v>441</v>
      </c>
      <c r="C255" s="2" t="s">
        <v>36</v>
      </c>
      <c r="D255" s="59"/>
      <c r="E255" s="35"/>
    </row>
    <row r="256" spans="2:5" hidden="1" x14ac:dyDescent="0.3">
      <c r="B256" s="34" t="s">
        <v>442</v>
      </c>
      <c r="C256" s="2" t="s">
        <v>443</v>
      </c>
      <c r="D256" s="25" t="s">
        <v>49</v>
      </c>
      <c r="E256" s="35" t="s">
        <v>27</v>
      </c>
    </row>
    <row r="257" spans="2:5" hidden="1" x14ac:dyDescent="0.3">
      <c r="B257" s="34" t="s">
        <v>444</v>
      </c>
      <c r="C257" s="2" t="s">
        <v>445</v>
      </c>
      <c r="D257" s="25" t="s">
        <v>17</v>
      </c>
      <c r="E257" s="35" t="s">
        <v>27</v>
      </c>
    </row>
    <row r="258" spans="2:5" hidden="1" x14ac:dyDescent="0.3">
      <c r="B258" s="34" t="s">
        <v>446</v>
      </c>
      <c r="C258" s="2" t="s">
        <v>447</v>
      </c>
      <c r="D258" s="25" t="s">
        <v>17</v>
      </c>
      <c r="E258" s="39" t="s">
        <v>10</v>
      </c>
    </row>
    <row r="259" spans="2:5" ht="15" hidden="1" thickBot="1" x14ac:dyDescent="0.35">
      <c r="B259" s="42" t="s">
        <v>448</v>
      </c>
      <c r="C259" s="43" t="s">
        <v>449</v>
      </c>
      <c r="D259" s="44"/>
      <c r="E259" s="45"/>
    </row>
    <row r="289" spans="5:5" x14ac:dyDescent="0.3">
      <c r="E289" s="1" t="s">
        <v>450</v>
      </c>
    </row>
  </sheetData>
  <autoFilter ref="B4:E259" xr:uid="{BD0621AD-3D74-4A55-BF1B-DCEFFD27F88F}">
    <filterColumn colId="1">
      <filters>
        <filter val="NESTOR PULIDO"/>
      </filters>
    </filterColumn>
  </autoFilter>
  <sortState xmlns:xlrd2="http://schemas.microsoft.com/office/spreadsheetml/2017/richdata2" ref="G6:H12">
    <sortCondition ref="G6:G12"/>
  </sortState>
  <mergeCells count="1">
    <mergeCell ref="B2:E2"/>
  </mergeCells>
  <conditionalFormatting sqref="C3:C233 C235:C242 C244:C245 C246:E246 C247:C1048576">
    <cfRule type="containsText" dxfId="142" priority="118" operator="containsText" text="libre">
      <formula>NOT(ISERROR(SEARCH("libre",C3)))</formula>
    </cfRule>
  </conditionalFormatting>
  <conditionalFormatting sqref="C5:E259">
    <cfRule type="expression" dxfId="141" priority="1">
      <formula>OR($C5="LIBRE",$D5="LIBRE")</formula>
    </cfRule>
    <cfRule type="expression" dxfId="140" priority="3">
      <formula>OR($C5="¿?",$D5="¿?")</formula>
    </cfRule>
  </conditionalFormatting>
  <conditionalFormatting sqref="D3:D5 D7:D9 D11:D245 E36 D247:D1048576">
    <cfRule type="cellIs" dxfId="139" priority="116" operator="equal">
      <formula>"USUARIO"</formula>
    </cfRule>
  </conditionalFormatting>
  <conditionalFormatting sqref="D3:D245 E36 D247:D1048576">
    <cfRule type="containsText" dxfId="138" priority="108" operator="containsText" text="SENSOR ">
      <formula>NOT(ISERROR(SEARCH("SENSOR ",D3)))</formula>
    </cfRule>
    <cfRule type="containsText" dxfId="137" priority="109" operator="containsText" text="TELEFONO">
      <formula>NOT(ISERROR(SEARCH("TELEFONO",D3)))</formula>
    </cfRule>
    <cfRule type="containsText" dxfId="136" priority="110" stopIfTrue="1" operator="containsText" text="CONTROL ACCESO">
      <formula>NOT(ISERROR(SEARCH("CONTROL ACCESO",D3)))</formula>
    </cfRule>
    <cfRule type="containsText" dxfId="135" priority="111" operator="containsText" text="RELOJ TALANA">
      <formula>NOT(ISERROR(SEARCH("RELOJ TALANA",D3)))</formula>
    </cfRule>
    <cfRule type="containsText" dxfId="134" priority="112" operator="containsText" text="IMPRESORA">
      <formula>NOT(ISERROR(SEARCH("IMPRESORA",D3)))</formula>
    </cfRule>
  </conditionalFormatting>
  <conditionalFormatting sqref="D4:D5 D7:D9 D11:D245 E36 D247:D259">
    <cfRule type="cellIs" dxfId="133" priority="117" operator="equal">
      <formula>"SERVIDOR"</formula>
    </cfRule>
  </conditionalFormatting>
  <conditionalFormatting sqref="D6:E6">
    <cfRule type="containsText" dxfId="132" priority="115" operator="containsText" text="libre">
      <formula>NOT(ISERROR(SEARCH("libre",D6)))</formula>
    </cfRule>
  </conditionalFormatting>
  <conditionalFormatting sqref="D10:E10">
    <cfRule type="containsText" dxfId="131" priority="11" operator="containsText" text="libre">
      <formula>NOT(ISERROR(SEARCH("libre",D10)))</formula>
    </cfRule>
  </conditionalFormatting>
  <conditionalFormatting sqref="E196">
    <cfRule type="containsText" dxfId="130" priority="16" operator="containsText" text="libre">
      <formula>NOT(ISERROR(SEARCH("libre",E196)))</formula>
    </cfRule>
  </conditionalFormatting>
  <conditionalFormatting sqref="E199">
    <cfRule type="containsText" dxfId="129" priority="15" operator="containsText" text="libre">
      <formula>NOT(ISERROR(SEARCH("libre",E199)))</formula>
    </cfRule>
  </conditionalFormatting>
  <conditionalFormatting sqref="E201">
    <cfRule type="containsText" dxfId="128" priority="14" operator="containsText" text="libre">
      <formula>NOT(ISERROR(SEARCH("libre",E201)))</formula>
    </cfRule>
  </conditionalFormatting>
  <conditionalFormatting sqref="E206">
    <cfRule type="containsText" dxfId="127" priority="17" operator="containsText" text="libre">
      <formula>NOT(ISERROR(SEARCH("libre",E206)))</formula>
    </cfRule>
  </conditionalFormatting>
  <conditionalFormatting sqref="E208:E210">
    <cfRule type="containsText" dxfId="126" priority="10" operator="containsText" text="libre">
      <formula>NOT(ISERROR(SEARCH("libre",E208)))</formula>
    </cfRule>
  </conditionalFormatting>
  <conditionalFormatting sqref="E236">
    <cfRule type="containsText" dxfId="125" priority="12" operator="containsText" text="libre">
      <formula>NOT(ISERROR(SEARCH("libre",E236)))</formula>
    </cfRule>
  </conditionalFormatting>
  <conditionalFormatting sqref="E258">
    <cfRule type="containsText" dxfId="124" priority="9" operator="containsText" text="libre">
      <formula>NOT(ISERROR(SEARCH("libre",E258)))</formula>
    </cfRule>
  </conditionalFormatting>
  <conditionalFormatting sqref="G6 G9:G12">
    <cfRule type="containsText" dxfId="123" priority="100" operator="containsText" text="SENSOR ">
      <formula>NOT(ISERROR(SEARCH("SENSOR ",G6)))</formula>
    </cfRule>
    <cfRule type="containsText" dxfId="122" priority="102" operator="containsText" text="CONTROL ACCESO">
      <formula>NOT(ISERROR(SEARCH("CONTROL ACCESO",G6)))</formula>
    </cfRule>
    <cfRule type="containsText" dxfId="121" priority="103" operator="containsText" text="RELOJ TALANA">
      <formula>NOT(ISERROR(SEARCH("RELOJ TALANA",G6)))</formula>
    </cfRule>
    <cfRule type="containsText" dxfId="120" priority="104" operator="containsText" text="IMPRESORA">
      <formula>NOT(ISERROR(SEARCH("IMPRESORA",G6)))</formula>
    </cfRule>
    <cfRule type="cellIs" dxfId="119" priority="106" operator="equal">
      <formula>"USUARIO"</formula>
    </cfRule>
    <cfRule type="cellIs" dxfId="118" priority="107" operator="equal">
      <formula>"SERVIDOR"</formula>
    </cfRule>
  </conditionalFormatting>
  <conditionalFormatting sqref="G13:G14">
    <cfRule type="containsText" dxfId="117" priority="18" operator="containsText" text="libre">
      <formula>NOT(ISERROR(SEARCH("libre",G13)))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1731-3DF4-4739-831C-139BCF8542C9}">
  <dimension ref="B2:I259"/>
  <sheetViews>
    <sheetView topLeftCell="A248" zoomScaleNormal="100" workbookViewId="0">
      <selection activeCell="C258" sqref="C258"/>
    </sheetView>
  </sheetViews>
  <sheetFormatPr baseColWidth="10" defaultColWidth="11.44140625" defaultRowHeight="14.4" x14ac:dyDescent="0.3"/>
  <cols>
    <col min="2" max="2" width="17.44140625" style="1" customWidth="1"/>
    <col min="3" max="3" width="44.88671875" style="1" bestFit="1" customWidth="1"/>
    <col min="4" max="4" width="16.5546875" style="23" customWidth="1"/>
    <col min="5" max="5" width="29.88671875" style="1" bestFit="1" customWidth="1"/>
    <col min="6" max="6" width="32.5546875" customWidth="1"/>
    <col min="7" max="7" width="20.6640625" bestFit="1" customWidth="1"/>
    <col min="8" max="8" width="9.5546875" bestFit="1" customWidth="1"/>
    <col min="9" max="9" width="11.5546875" bestFit="1" customWidth="1"/>
  </cols>
  <sheetData>
    <row r="2" spans="2:9" x14ac:dyDescent="0.3">
      <c r="B2" s="91" t="s">
        <v>451</v>
      </c>
      <c r="C2" s="91"/>
      <c r="D2" s="91"/>
      <c r="E2" s="91"/>
    </row>
    <row r="3" spans="2:9" ht="15" thickBot="1" x14ac:dyDescent="0.35"/>
    <row r="4" spans="2:9" ht="15" thickBot="1" x14ac:dyDescent="0.35">
      <c r="B4" s="29" t="s">
        <v>1</v>
      </c>
      <c r="C4" s="30" t="s">
        <v>2</v>
      </c>
      <c r="D4" s="30" t="s">
        <v>452</v>
      </c>
      <c r="E4" s="31" t="s">
        <v>4</v>
      </c>
      <c r="H4" s="6" t="s">
        <v>5</v>
      </c>
      <c r="I4" s="7" t="s">
        <v>6</v>
      </c>
    </row>
    <row r="5" spans="2:9" ht="15" thickBot="1" x14ac:dyDescent="0.35">
      <c r="B5" s="32" t="s">
        <v>453</v>
      </c>
      <c r="C5" s="20" t="s">
        <v>8</v>
      </c>
      <c r="D5" s="24" t="s">
        <v>9</v>
      </c>
      <c r="E5" s="33" t="s">
        <v>10</v>
      </c>
      <c r="G5" s="9" t="s">
        <v>11</v>
      </c>
      <c r="H5" s="10">
        <v>255</v>
      </c>
      <c r="I5" s="11">
        <v>1</v>
      </c>
    </row>
    <row r="6" spans="2:9" ht="15" thickBot="1" x14ac:dyDescent="0.35">
      <c r="B6" s="32" t="s">
        <v>454</v>
      </c>
      <c r="C6" s="2"/>
      <c r="D6" s="25"/>
      <c r="E6" s="35"/>
      <c r="G6" s="5" t="s">
        <v>1540</v>
      </c>
      <c r="H6" s="8">
        <f>COUNTIF(D:D,"BOTONERA")</f>
        <v>0</v>
      </c>
      <c r="I6" s="12">
        <f>H6/$H$5</f>
        <v>0</v>
      </c>
    </row>
    <row r="7" spans="2:9" ht="15" thickBot="1" x14ac:dyDescent="0.35">
      <c r="B7" s="32" t="s">
        <v>455</v>
      </c>
      <c r="C7" s="2"/>
      <c r="D7" s="25"/>
      <c r="E7" s="35"/>
      <c r="G7" s="13" t="s">
        <v>18</v>
      </c>
      <c r="H7" s="8">
        <f>COUNTIF(D:D,"cctv")</f>
        <v>0</v>
      </c>
      <c r="I7" s="12">
        <f>H7/$H$5</f>
        <v>0</v>
      </c>
    </row>
    <row r="8" spans="2:9" ht="15" thickBot="1" x14ac:dyDescent="0.35">
      <c r="B8" s="32" t="s">
        <v>456</v>
      </c>
      <c r="C8" s="2" t="s">
        <v>457</v>
      </c>
      <c r="D8" s="25" t="s">
        <v>22</v>
      </c>
      <c r="E8" s="35" t="s">
        <v>270</v>
      </c>
      <c r="G8" s="13" t="s">
        <v>20</v>
      </c>
      <c r="H8" s="8">
        <v>1</v>
      </c>
      <c r="I8" s="12">
        <f t="shared" ref="I8:I14" si="0">H8/$H$5</f>
        <v>3.9215686274509803E-3</v>
      </c>
    </row>
    <row r="9" spans="2:9" ht="15" thickBot="1" x14ac:dyDescent="0.35">
      <c r="B9" s="32" t="s">
        <v>458</v>
      </c>
      <c r="C9" s="2"/>
      <c r="D9" s="25"/>
      <c r="E9" s="35"/>
      <c r="G9" s="5" t="s">
        <v>22</v>
      </c>
      <c r="H9" s="8">
        <f>COUNTIF(D:D,"IMPRESORA")</f>
        <v>3</v>
      </c>
      <c r="I9" s="12">
        <f t="shared" si="0"/>
        <v>1.1764705882352941E-2</v>
      </c>
    </row>
    <row r="10" spans="2:9" ht="15" thickBot="1" x14ac:dyDescent="0.35">
      <c r="B10" s="32" t="s">
        <v>459</v>
      </c>
      <c r="C10" s="2"/>
      <c r="D10" s="25"/>
      <c r="E10" s="35"/>
      <c r="G10" s="5" t="s">
        <v>28</v>
      </c>
      <c r="H10" s="8">
        <f>COUNTIF(D:D,"RELOJ TALANA")</f>
        <v>0</v>
      </c>
      <c r="I10" s="12">
        <f t="shared" si="0"/>
        <v>0</v>
      </c>
    </row>
    <row r="11" spans="2:9" ht="15" thickBot="1" x14ac:dyDescent="0.35">
      <c r="B11" s="32" t="s">
        <v>460</v>
      </c>
      <c r="C11" s="2"/>
      <c r="D11" s="25"/>
      <c r="E11" s="35"/>
      <c r="G11" s="5" t="s">
        <v>17</v>
      </c>
      <c r="H11" s="8">
        <f>COUNTIF(D:D,"SERVIDOR")</f>
        <v>0</v>
      </c>
      <c r="I11" s="12">
        <f t="shared" si="0"/>
        <v>0</v>
      </c>
    </row>
    <row r="12" spans="2:9" ht="15" thickBot="1" x14ac:dyDescent="0.35">
      <c r="B12" s="32" t="s">
        <v>461</v>
      </c>
      <c r="C12" s="2"/>
      <c r="D12" s="25"/>
      <c r="E12" s="35"/>
      <c r="G12" s="14" t="s">
        <v>34</v>
      </c>
      <c r="H12" s="8">
        <f>COUNTIF(D:D,"USUARIO")</f>
        <v>43</v>
      </c>
      <c r="I12" s="12">
        <f t="shared" si="0"/>
        <v>0.16862745098039217</v>
      </c>
    </row>
    <row r="13" spans="2:9" ht="15" thickBot="1" x14ac:dyDescent="0.35">
      <c r="B13" s="32" t="s">
        <v>462</v>
      </c>
      <c r="C13" s="2" t="s">
        <v>1557</v>
      </c>
      <c r="D13" s="25" t="s">
        <v>49</v>
      </c>
      <c r="E13" s="35" t="s">
        <v>104</v>
      </c>
      <c r="G13" s="5" t="s">
        <v>36</v>
      </c>
      <c r="H13" s="8">
        <f>COUNTIF(C:C,"libre")</f>
        <v>0</v>
      </c>
      <c r="I13" s="12">
        <f>H13/$H$5</f>
        <v>0</v>
      </c>
    </row>
    <row r="14" spans="2:9" ht="15" thickBot="1" x14ac:dyDescent="0.35">
      <c r="B14" s="32" t="s">
        <v>463</v>
      </c>
      <c r="C14" s="2"/>
      <c r="D14" s="25"/>
      <c r="E14" s="35"/>
      <c r="G14" s="15" t="s">
        <v>13</v>
      </c>
      <c r="H14" s="16">
        <f>COUNTIF(C:C,"¿?")</f>
        <v>0</v>
      </c>
      <c r="I14" s="17">
        <f t="shared" si="0"/>
        <v>0</v>
      </c>
    </row>
    <row r="15" spans="2:9" ht="15" thickBot="1" x14ac:dyDescent="0.35">
      <c r="B15" s="32" t="s">
        <v>464</v>
      </c>
      <c r="C15" s="2"/>
      <c r="D15" s="25"/>
      <c r="E15" s="35"/>
    </row>
    <row r="16" spans="2:9" ht="15" thickBot="1" x14ac:dyDescent="0.35">
      <c r="B16" s="32" t="s">
        <v>465</v>
      </c>
      <c r="C16" s="2"/>
      <c r="D16" s="25"/>
      <c r="E16" s="35"/>
    </row>
    <row r="17" spans="2:5" ht="15" thickBot="1" x14ac:dyDescent="0.35">
      <c r="B17" s="32" t="s">
        <v>466</v>
      </c>
      <c r="C17" s="2"/>
      <c r="D17" s="25"/>
      <c r="E17" s="35"/>
    </row>
    <row r="18" spans="2:5" ht="15" thickBot="1" x14ac:dyDescent="0.35">
      <c r="B18" s="32" t="s">
        <v>467</v>
      </c>
      <c r="C18" s="4"/>
      <c r="D18" s="25"/>
      <c r="E18" s="35"/>
    </row>
    <row r="19" spans="2:5" ht="15" thickBot="1" x14ac:dyDescent="0.35">
      <c r="B19" s="32" t="s">
        <v>468</v>
      </c>
      <c r="C19" s="2"/>
      <c r="D19" s="25"/>
      <c r="E19" s="35"/>
    </row>
    <row r="20" spans="2:5" ht="15" thickBot="1" x14ac:dyDescent="0.35">
      <c r="B20" s="32" t="s">
        <v>469</v>
      </c>
      <c r="C20" s="2"/>
      <c r="D20" s="25"/>
      <c r="E20" s="35"/>
    </row>
    <row r="21" spans="2:5" ht="15" thickBot="1" x14ac:dyDescent="0.35">
      <c r="B21" s="32" t="s">
        <v>470</v>
      </c>
      <c r="C21" s="2" t="s">
        <v>1507</v>
      </c>
      <c r="D21" s="25" t="s">
        <v>49</v>
      </c>
      <c r="E21" s="35" t="s">
        <v>108</v>
      </c>
    </row>
    <row r="22" spans="2:5" ht="15" thickBot="1" x14ac:dyDescent="0.35">
      <c r="B22" s="32" t="s">
        <v>471</v>
      </c>
      <c r="C22" s="2" t="s">
        <v>1519</v>
      </c>
      <c r="D22" s="25" t="s">
        <v>49</v>
      </c>
      <c r="E22" s="35" t="s">
        <v>127</v>
      </c>
    </row>
    <row r="23" spans="2:5" ht="15" thickBot="1" x14ac:dyDescent="0.35">
      <c r="B23" s="32" t="s">
        <v>472</v>
      </c>
      <c r="C23" s="2"/>
      <c r="D23" s="25"/>
      <c r="E23" s="35"/>
    </row>
    <row r="24" spans="2:5" ht="15" thickBot="1" x14ac:dyDescent="0.35">
      <c r="B24" s="32" t="s">
        <v>473</v>
      </c>
      <c r="C24" s="2" t="s">
        <v>1570</v>
      </c>
      <c r="D24" s="25" t="s">
        <v>49</v>
      </c>
      <c r="E24" s="35" t="s">
        <v>62</v>
      </c>
    </row>
    <row r="25" spans="2:5" ht="15" thickBot="1" x14ac:dyDescent="0.35">
      <c r="B25" s="32" t="s">
        <v>474</v>
      </c>
      <c r="C25" s="2"/>
      <c r="D25" s="25"/>
      <c r="E25" s="35"/>
    </row>
    <row r="26" spans="2:5" ht="15" thickBot="1" x14ac:dyDescent="0.35">
      <c r="B26" s="32" t="s">
        <v>475</v>
      </c>
      <c r="C26" s="2" t="s">
        <v>476</v>
      </c>
      <c r="D26" s="25" t="s">
        <v>49</v>
      </c>
      <c r="E26" s="35" t="s">
        <v>108</v>
      </c>
    </row>
    <row r="27" spans="2:5" ht="15" thickBot="1" x14ac:dyDescent="0.35">
      <c r="B27" s="32" t="s">
        <v>477</v>
      </c>
      <c r="C27" s="2"/>
      <c r="D27" s="25"/>
      <c r="E27" s="35"/>
    </row>
    <row r="28" spans="2:5" ht="15" thickBot="1" x14ac:dyDescent="0.35">
      <c r="B28" s="32" t="s">
        <v>478</v>
      </c>
      <c r="C28" s="2"/>
      <c r="D28" s="25"/>
      <c r="E28" s="35"/>
    </row>
    <row r="29" spans="2:5" ht="15" thickBot="1" x14ac:dyDescent="0.35">
      <c r="B29" s="32" t="s">
        <v>479</v>
      </c>
      <c r="C29" s="2"/>
      <c r="D29" s="25"/>
      <c r="E29" s="35"/>
    </row>
    <row r="30" spans="2:5" ht="15" thickBot="1" x14ac:dyDescent="0.35">
      <c r="B30" s="32" t="s">
        <v>480</v>
      </c>
      <c r="C30" s="2"/>
      <c r="D30" s="25"/>
      <c r="E30" s="35"/>
    </row>
    <row r="31" spans="2:5" ht="15" thickBot="1" x14ac:dyDescent="0.35">
      <c r="B31" s="32" t="s">
        <v>481</v>
      </c>
      <c r="C31" s="2" t="s">
        <v>1503</v>
      </c>
      <c r="D31" s="25" t="s">
        <v>49</v>
      </c>
      <c r="E31" s="35" t="s">
        <v>58</v>
      </c>
    </row>
    <row r="32" spans="2:5" ht="15" thickBot="1" x14ac:dyDescent="0.35">
      <c r="B32" s="32" t="s">
        <v>482</v>
      </c>
      <c r="C32" s="36"/>
      <c r="D32" s="25"/>
      <c r="E32" s="35"/>
    </row>
    <row r="33" spans="2:5" ht="15" thickBot="1" x14ac:dyDescent="0.35">
      <c r="B33" s="32" t="s">
        <v>483</v>
      </c>
      <c r="C33" s="2"/>
      <c r="D33" s="25"/>
      <c r="E33" s="35"/>
    </row>
    <row r="34" spans="2:5" ht="15" thickBot="1" x14ac:dyDescent="0.35">
      <c r="B34" s="32" t="s">
        <v>484</v>
      </c>
      <c r="C34" s="2" t="s">
        <v>1580</v>
      </c>
      <c r="D34" s="25" t="s">
        <v>49</v>
      </c>
      <c r="E34" s="37" t="s">
        <v>1546</v>
      </c>
    </row>
    <row r="35" spans="2:5" ht="15" thickBot="1" x14ac:dyDescent="0.35">
      <c r="B35" s="32" t="s">
        <v>485</v>
      </c>
      <c r="C35" s="2"/>
      <c r="D35" s="25"/>
      <c r="E35" s="35"/>
    </row>
    <row r="36" spans="2:5" ht="15" thickBot="1" x14ac:dyDescent="0.35">
      <c r="B36" s="32" t="s">
        <v>486</v>
      </c>
      <c r="C36" s="2"/>
      <c r="D36" s="25"/>
      <c r="E36" s="35"/>
    </row>
    <row r="37" spans="2:5" ht="15" thickBot="1" x14ac:dyDescent="0.35">
      <c r="B37" s="32" t="s">
        <v>487</v>
      </c>
      <c r="C37" s="2" t="s">
        <v>1508</v>
      </c>
      <c r="D37" s="25" t="s">
        <v>49</v>
      </c>
      <c r="E37" s="35" t="s">
        <v>108</v>
      </c>
    </row>
    <row r="38" spans="2:5" ht="15" thickBot="1" x14ac:dyDescent="0.35">
      <c r="B38" s="32" t="s">
        <v>488</v>
      </c>
      <c r="C38" s="2"/>
      <c r="D38" s="25"/>
      <c r="E38" s="35"/>
    </row>
    <row r="39" spans="2:5" ht="15" thickBot="1" x14ac:dyDescent="0.35">
      <c r="B39" s="32" t="s">
        <v>489</v>
      </c>
      <c r="C39" s="2" t="s">
        <v>1562</v>
      </c>
      <c r="D39" s="25" t="s">
        <v>22</v>
      </c>
      <c r="E39" s="35" t="s">
        <v>27</v>
      </c>
    </row>
    <row r="40" spans="2:5" ht="15" thickBot="1" x14ac:dyDescent="0.35">
      <c r="B40" s="32" t="s">
        <v>490</v>
      </c>
      <c r="C40" s="2"/>
      <c r="D40" s="25"/>
      <c r="E40" s="35"/>
    </row>
    <row r="41" spans="2:5" ht="15" thickBot="1" x14ac:dyDescent="0.35">
      <c r="B41" s="32" t="s">
        <v>491</v>
      </c>
      <c r="C41" s="38"/>
      <c r="D41" s="25"/>
      <c r="E41" s="35"/>
    </row>
    <row r="42" spans="2:5" ht="15" thickBot="1" x14ac:dyDescent="0.35">
      <c r="B42" s="32" t="s">
        <v>492</v>
      </c>
      <c r="C42" s="2"/>
      <c r="D42" s="25"/>
      <c r="E42" s="35"/>
    </row>
    <row r="43" spans="2:5" ht="15" thickBot="1" x14ac:dyDescent="0.35">
      <c r="B43" s="32" t="s">
        <v>493</v>
      </c>
      <c r="C43" s="2"/>
      <c r="D43" s="25"/>
      <c r="E43" s="35"/>
    </row>
    <row r="44" spans="2:5" ht="15" thickBot="1" x14ac:dyDescent="0.35">
      <c r="B44" s="32" t="s">
        <v>494</v>
      </c>
      <c r="C44" s="2"/>
      <c r="D44" s="25"/>
      <c r="E44" s="35"/>
    </row>
    <row r="45" spans="2:5" ht="15" thickBot="1" x14ac:dyDescent="0.35">
      <c r="B45" s="32" t="s">
        <v>495</v>
      </c>
      <c r="C45" s="2" t="s">
        <v>1563</v>
      </c>
      <c r="D45" s="25" t="s">
        <v>49</v>
      </c>
      <c r="E45" s="35" t="s">
        <v>27</v>
      </c>
    </row>
    <row r="46" spans="2:5" ht="15" thickBot="1" x14ac:dyDescent="0.35">
      <c r="B46" s="32" t="s">
        <v>496</v>
      </c>
      <c r="C46" s="2"/>
      <c r="D46" s="25"/>
      <c r="E46" s="35"/>
    </row>
    <row r="47" spans="2:5" ht="15" thickBot="1" x14ac:dyDescent="0.35">
      <c r="B47" s="32" t="s">
        <v>497</v>
      </c>
      <c r="C47" s="2"/>
      <c r="D47" s="25"/>
      <c r="E47" s="35"/>
    </row>
    <row r="48" spans="2:5" ht="15" thickBot="1" x14ac:dyDescent="0.35">
      <c r="B48" s="32" t="s">
        <v>498</v>
      </c>
      <c r="C48" s="2"/>
      <c r="D48" s="25"/>
      <c r="E48" s="35"/>
    </row>
    <row r="49" spans="2:5" ht="15" thickBot="1" x14ac:dyDescent="0.35">
      <c r="B49" s="32" t="s">
        <v>499</v>
      </c>
      <c r="C49" s="2" t="s">
        <v>1516</v>
      </c>
      <c r="D49" s="25"/>
      <c r="E49" s="35"/>
    </row>
    <row r="50" spans="2:5" ht="15" thickBot="1" x14ac:dyDescent="0.35">
      <c r="B50" s="32" t="s">
        <v>500</v>
      </c>
      <c r="C50" s="2" t="s">
        <v>501</v>
      </c>
      <c r="D50" s="25" t="s">
        <v>22</v>
      </c>
      <c r="E50" s="35" t="s">
        <v>10</v>
      </c>
    </row>
    <row r="51" spans="2:5" ht="15" thickBot="1" x14ac:dyDescent="0.35">
      <c r="B51" s="32" t="s">
        <v>502</v>
      </c>
      <c r="C51" s="2"/>
      <c r="D51" s="25"/>
      <c r="E51" s="35"/>
    </row>
    <row r="52" spans="2:5" ht="15" thickBot="1" x14ac:dyDescent="0.35">
      <c r="B52" s="32" t="s">
        <v>503</v>
      </c>
      <c r="C52" s="2"/>
      <c r="D52" s="25"/>
      <c r="E52" s="35"/>
    </row>
    <row r="53" spans="2:5" ht="15" thickBot="1" x14ac:dyDescent="0.35">
      <c r="B53" s="32" t="s">
        <v>504</v>
      </c>
      <c r="C53" s="2"/>
      <c r="D53" s="25"/>
      <c r="E53" s="35"/>
    </row>
    <row r="54" spans="2:5" ht="15" thickBot="1" x14ac:dyDescent="0.35">
      <c r="B54" s="32" t="s">
        <v>505</v>
      </c>
      <c r="C54" s="2"/>
      <c r="D54" s="25"/>
      <c r="E54" s="35"/>
    </row>
    <row r="55" spans="2:5" ht="15" thickBot="1" x14ac:dyDescent="0.35">
      <c r="B55" s="32" t="s">
        <v>506</v>
      </c>
      <c r="C55" s="2"/>
      <c r="D55" s="25"/>
      <c r="E55" s="35"/>
    </row>
    <row r="56" spans="2:5" ht="15" thickBot="1" x14ac:dyDescent="0.35">
      <c r="B56" s="32" t="s">
        <v>507</v>
      </c>
      <c r="C56" s="21"/>
      <c r="D56" s="25"/>
      <c r="E56" s="35"/>
    </row>
    <row r="57" spans="2:5" ht="15" thickBot="1" x14ac:dyDescent="0.35">
      <c r="B57" s="32" t="s">
        <v>508</v>
      </c>
      <c r="C57" s="2"/>
      <c r="D57" s="25"/>
      <c r="E57" s="35"/>
    </row>
    <row r="58" spans="2:5" ht="15" thickBot="1" x14ac:dyDescent="0.35">
      <c r="B58" s="32" t="s">
        <v>509</v>
      </c>
      <c r="C58" s="2"/>
      <c r="D58" s="25"/>
      <c r="E58" s="35"/>
    </row>
    <row r="59" spans="2:5" ht="15" thickBot="1" x14ac:dyDescent="0.35">
      <c r="B59" s="32" t="s">
        <v>510</v>
      </c>
      <c r="C59" s="2"/>
      <c r="D59" s="25"/>
      <c r="E59" s="35"/>
    </row>
    <row r="60" spans="2:5" ht="15" thickBot="1" x14ac:dyDescent="0.35">
      <c r="B60" s="32" t="s">
        <v>511</v>
      </c>
      <c r="C60" s="2"/>
      <c r="D60" s="25"/>
      <c r="E60" s="35"/>
    </row>
    <row r="61" spans="2:5" ht="15" thickBot="1" x14ac:dyDescent="0.35">
      <c r="B61" s="32" t="s">
        <v>512</v>
      </c>
      <c r="C61" s="2"/>
      <c r="D61" s="25"/>
      <c r="E61" s="35"/>
    </row>
    <row r="62" spans="2:5" ht="15" thickBot="1" x14ac:dyDescent="0.35">
      <c r="B62" s="32" t="s">
        <v>513</v>
      </c>
      <c r="C62" s="2"/>
      <c r="D62" s="25"/>
      <c r="E62" s="35"/>
    </row>
    <row r="63" spans="2:5" ht="15" thickBot="1" x14ac:dyDescent="0.35">
      <c r="B63" s="32" t="s">
        <v>514</v>
      </c>
      <c r="C63" s="2"/>
      <c r="D63" s="25"/>
      <c r="E63" s="35"/>
    </row>
    <row r="64" spans="2:5" ht="15" thickBot="1" x14ac:dyDescent="0.35">
      <c r="B64" s="32" t="s">
        <v>515</v>
      </c>
      <c r="C64" s="2" t="s">
        <v>239</v>
      </c>
      <c r="D64" s="25" t="s">
        <v>49</v>
      </c>
      <c r="E64" s="35" t="s">
        <v>58</v>
      </c>
    </row>
    <row r="65" spans="2:5" ht="15" thickBot="1" x14ac:dyDescent="0.35">
      <c r="B65" s="32" t="s">
        <v>516</v>
      </c>
      <c r="C65" s="2"/>
      <c r="D65" s="25"/>
      <c r="E65" s="35"/>
    </row>
    <row r="66" spans="2:5" ht="15" thickBot="1" x14ac:dyDescent="0.35">
      <c r="B66" s="32" t="s">
        <v>517</v>
      </c>
      <c r="C66" s="2"/>
      <c r="D66" s="25"/>
      <c r="E66" s="35"/>
    </row>
    <row r="67" spans="2:5" ht="15" thickBot="1" x14ac:dyDescent="0.35">
      <c r="B67" s="32" t="s">
        <v>518</v>
      </c>
      <c r="C67" s="2"/>
      <c r="D67" s="25"/>
      <c r="E67" s="35"/>
    </row>
    <row r="68" spans="2:5" ht="15" thickBot="1" x14ac:dyDescent="0.35">
      <c r="B68" s="32" t="s">
        <v>519</v>
      </c>
      <c r="C68" s="2"/>
      <c r="D68" s="25"/>
      <c r="E68" s="35"/>
    </row>
    <row r="69" spans="2:5" ht="15" thickBot="1" x14ac:dyDescent="0.35">
      <c r="B69" s="32" t="s">
        <v>520</v>
      </c>
      <c r="C69" s="2" t="s">
        <v>521</v>
      </c>
      <c r="D69" s="25" t="s">
        <v>49</v>
      </c>
      <c r="E69" s="35" t="s">
        <v>58</v>
      </c>
    </row>
    <row r="70" spans="2:5" ht="15" thickBot="1" x14ac:dyDescent="0.35">
      <c r="B70" s="32" t="s">
        <v>522</v>
      </c>
      <c r="C70" s="2" t="s">
        <v>523</v>
      </c>
      <c r="D70" s="25" t="s">
        <v>49</v>
      </c>
      <c r="E70" s="35" t="s">
        <v>58</v>
      </c>
    </row>
    <row r="71" spans="2:5" ht="15" thickBot="1" x14ac:dyDescent="0.35">
      <c r="B71" s="32" t="s">
        <v>524</v>
      </c>
      <c r="C71" s="2" t="s">
        <v>525</v>
      </c>
      <c r="D71" s="25" t="s">
        <v>49</v>
      </c>
      <c r="E71" s="35" t="s">
        <v>58</v>
      </c>
    </row>
    <row r="72" spans="2:5" ht="15" thickBot="1" x14ac:dyDescent="0.35">
      <c r="B72" s="32" t="s">
        <v>526</v>
      </c>
      <c r="C72" s="2" t="s">
        <v>527</v>
      </c>
      <c r="D72" s="25" t="s">
        <v>49</v>
      </c>
      <c r="E72" s="35" t="s">
        <v>58</v>
      </c>
    </row>
    <row r="73" spans="2:5" ht="15" thickBot="1" x14ac:dyDescent="0.35">
      <c r="B73" s="32" t="s">
        <v>528</v>
      </c>
      <c r="C73" s="4" t="s">
        <v>529</v>
      </c>
      <c r="D73" s="25" t="s">
        <v>49</v>
      </c>
      <c r="E73" s="35" t="s">
        <v>58</v>
      </c>
    </row>
    <row r="74" spans="2:5" ht="15" thickBot="1" x14ac:dyDescent="0.35">
      <c r="B74" s="32" t="s">
        <v>530</v>
      </c>
      <c r="C74" s="2" t="s">
        <v>1509</v>
      </c>
      <c r="D74" s="25" t="s">
        <v>49</v>
      </c>
      <c r="E74" s="35" t="s">
        <v>58</v>
      </c>
    </row>
    <row r="75" spans="2:5" ht="15" thickBot="1" x14ac:dyDescent="0.35">
      <c r="B75" s="32" t="s">
        <v>531</v>
      </c>
      <c r="C75" s="2" t="s">
        <v>532</v>
      </c>
      <c r="D75" s="25" t="s">
        <v>49</v>
      </c>
      <c r="E75" s="35" t="s">
        <v>58</v>
      </c>
    </row>
    <row r="76" spans="2:5" ht="15" thickBot="1" x14ac:dyDescent="0.35">
      <c r="B76" s="32" t="s">
        <v>533</v>
      </c>
      <c r="C76" s="2" t="s">
        <v>534</v>
      </c>
      <c r="D76" s="25" t="s">
        <v>49</v>
      </c>
      <c r="E76" s="35" t="s">
        <v>58</v>
      </c>
    </row>
    <row r="77" spans="2:5" ht="15" thickBot="1" x14ac:dyDescent="0.35">
      <c r="B77" s="32" t="s">
        <v>535</v>
      </c>
      <c r="C77" s="2" t="s">
        <v>536</v>
      </c>
      <c r="D77" s="25" t="s">
        <v>49</v>
      </c>
      <c r="E77" s="35" t="s">
        <v>58</v>
      </c>
    </row>
    <row r="78" spans="2:5" ht="15" thickBot="1" x14ac:dyDescent="0.35">
      <c r="B78" s="32" t="s">
        <v>537</v>
      </c>
      <c r="C78" s="2"/>
      <c r="D78" s="25"/>
      <c r="E78" s="35"/>
    </row>
    <row r="79" spans="2:5" ht="15" thickBot="1" x14ac:dyDescent="0.35">
      <c r="B79" s="32" t="s">
        <v>538</v>
      </c>
      <c r="C79" s="2"/>
      <c r="D79" s="25"/>
      <c r="E79" s="35"/>
    </row>
    <row r="80" spans="2:5" ht="15" thickBot="1" x14ac:dyDescent="0.35">
      <c r="B80" s="32" t="s">
        <v>539</v>
      </c>
      <c r="C80" s="2"/>
      <c r="D80" s="25"/>
      <c r="E80" s="35"/>
    </row>
    <row r="81" spans="2:5" ht="15" thickBot="1" x14ac:dyDescent="0.35">
      <c r="B81" s="32" t="s">
        <v>540</v>
      </c>
      <c r="C81" s="2"/>
      <c r="D81" s="25"/>
      <c r="E81" s="35"/>
    </row>
    <row r="82" spans="2:5" ht="15" thickBot="1" x14ac:dyDescent="0.35">
      <c r="B82" s="32" t="s">
        <v>541</v>
      </c>
      <c r="C82" s="2"/>
      <c r="D82" s="25"/>
      <c r="E82" s="35"/>
    </row>
    <row r="83" spans="2:5" ht="15" thickBot="1" x14ac:dyDescent="0.35">
      <c r="B83" s="32" t="s">
        <v>542</v>
      </c>
      <c r="C83" s="2"/>
      <c r="D83" s="25"/>
      <c r="E83" s="35"/>
    </row>
    <row r="84" spans="2:5" ht="15" thickBot="1" x14ac:dyDescent="0.35">
      <c r="B84" s="32" t="s">
        <v>543</v>
      </c>
      <c r="C84" s="2"/>
      <c r="D84" s="25"/>
      <c r="E84" s="35"/>
    </row>
    <row r="85" spans="2:5" ht="15" thickBot="1" x14ac:dyDescent="0.35">
      <c r="B85" s="32" t="s">
        <v>544</v>
      </c>
      <c r="C85" s="38"/>
      <c r="D85" s="25"/>
      <c r="E85" s="35"/>
    </row>
    <row r="86" spans="2:5" ht="15" thickBot="1" x14ac:dyDescent="0.35">
      <c r="B86" s="32" t="s">
        <v>545</v>
      </c>
      <c r="C86" s="2"/>
      <c r="D86" s="25"/>
      <c r="E86" s="35"/>
    </row>
    <row r="87" spans="2:5" ht="15" thickBot="1" x14ac:dyDescent="0.35">
      <c r="B87" s="32" t="s">
        <v>546</v>
      </c>
      <c r="C87" s="2"/>
      <c r="D87" s="25"/>
      <c r="E87" s="35"/>
    </row>
    <row r="88" spans="2:5" ht="15" thickBot="1" x14ac:dyDescent="0.35">
      <c r="B88" s="32" t="s">
        <v>547</v>
      </c>
      <c r="C88" s="2"/>
      <c r="D88" s="25"/>
      <c r="E88" s="35"/>
    </row>
    <row r="89" spans="2:5" ht="15" thickBot="1" x14ac:dyDescent="0.35">
      <c r="B89" s="32" t="s">
        <v>548</v>
      </c>
      <c r="C89" s="2"/>
      <c r="D89" s="25"/>
      <c r="E89" s="35"/>
    </row>
    <row r="90" spans="2:5" ht="15" thickBot="1" x14ac:dyDescent="0.35">
      <c r="B90" s="32" t="s">
        <v>549</v>
      </c>
      <c r="C90" s="2"/>
      <c r="D90" s="25"/>
      <c r="E90" s="35"/>
    </row>
    <row r="91" spans="2:5" ht="15" thickBot="1" x14ac:dyDescent="0.35">
      <c r="B91" s="32" t="s">
        <v>550</v>
      </c>
      <c r="C91" s="2"/>
      <c r="D91" s="25"/>
      <c r="E91" s="35"/>
    </row>
    <row r="92" spans="2:5" ht="15" thickBot="1" x14ac:dyDescent="0.35">
      <c r="B92" s="32" t="s">
        <v>551</v>
      </c>
      <c r="C92" s="2"/>
      <c r="D92" s="25"/>
      <c r="E92" s="35"/>
    </row>
    <row r="93" spans="2:5" ht="15" thickBot="1" x14ac:dyDescent="0.35">
      <c r="B93" s="32" t="s">
        <v>552</v>
      </c>
      <c r="C93" s="2"/>
      <c r="D93" s="25"/>
      <c r="E93" s="35"/>
    </row>
    <row r="94" spans="2:5" ht="15" thickBot="1" x14ac:dyDescent="0.35">
      <c r="B94" s="32" t="s">
        <v>553</v>
      </c>
      <c r="C94" s="2"/>
      <c r="D94" s="25"/>
      <c r="E94" s="35"/>
    </row>
    <row r="95" spans="2:5" ht="15" thickBot="1" x14ac:dyDescent="0.35">
      <c r="B95" s="32" t="s">
        <v>554</v>
      </c>
      <c r="C95" s="2"/>
      <c r="D95" s="25"/>
      <c r="E95" s="35"/>
    </row>
    <row r="96" spans="2:5" ht="15" thickBot="1" x14ac:dyDescent="0.35">
      <c r="B96" s="32" t="s">
        <v>555</v>
      </c>
      <c r="C96" s="2"/>
      <c r="D96" s="25"/>
      <c r="E96" s="35"/>
    </row>
    <row r="97" spans="2:5" ht="15" thickBot="1" x14ac:dyDescent="0.35">
      <c r="B97" s="32" t="s">
        <v>556</v>
      </c>
      <c r="C97" s="2"/>
      <c r="D97" s="25"/>
      <c r="E97" s="35"/>
    </row>
    <row r="98" spans="2:5" ht="15" thickBot="1" x14ac:dyDescent="0.35">
      <c r="B98" s="32" t="s">
        <v>557</v>
      </c>
      <c r="C98" s="2"/>
      <c r="D98" s="25"/>
      <c r="E98" s="35"/>
    </row>
    <row r="99" spans="2:5" ht="15" thickBot="1" x14ac:dyDescent="0.35">
      <c r="B99" s="32" t="s">
        <v>558</v>
      </c>
      <c r="C99" s="2"/>
      <c r="D99" s="25"/>
      <c r="E99" s="35"/>
    </row>
    <row r="100" spans="2:5" ht="15" thickBot="1" x14ac:dyDescent="0.35">
      <c r="B100" s="32" t="s">
        <v>559</v>
      </c>
      <c r="C100" s="2"/>
      <c r="D100" s="25"/>
      <c r="E100" s="35"/>
    </row>
    <row r="101" spans="2:5" ht="15" thickBot="1" x14ac:dyDescent="0.35">
      <c r="B101" s="32" t="s">
        <v>560</v>
      </c>
      <c r="C101" s="2"/>
      <c r="D101" s="25"/>
      <c r="E101" s="35"/>
    </row>
    <row r="102" spans="2:5" ht="15" thickBot="1" x14ac:dyDescent="0.35">
      <c r="B102" s="32" t="s">
        <v>561</v>
      </c>
      <c r="C102" s="2"/>
      <c r="D102" s="25"/>
      <c r="E102" s="35"/>
    </row>
    <row r="103" spans="2:5" ht="15" thickBot="1" x14ac:dyDescent="0.35">
      <c r="B103" s="32" t="s">
        <v>562</v>
      </c>
      <c r="C103" s="2"/>
      <c r="D103" s="25"/>
      <c r="E103" s="35"/>
    </row>
    <row r="104" spans="2:5" ht="15" thickBot="1" x14ac:dyDescent="0.35">
      <c r="B104" s="32" t="s">
        <v>563</v>
      </c>
      <c r="C104" s="2"/>
      <c r="D104" s="25"/>
      <c r="E104" s="35"/>
    </row>
    <row r="105" spans="2:5" ht="15" thickBot="1" x14ac:dyDescent="0.35">
      <c r="B105" s="32" t="s">
        <v>564</v>
      </c>
      <c r="C105" s="2"/>
      <c r="D105" s="25"/>
      <c r="E105" s="35"/>
    </row>
    <row r="106" spans="2:5" ht="15" thickBot="1" x14ac:dyDescent="0.35">
      <c r="B106" s="32" t="s">
        <v>565</v>
      </c>
      <c r="C106" s="2"/>
      <c r="D106" s="25"/>
      <c r="E106" s="37"/>
    </row>
    <row r="107" spans="2:5" ht="15" thickBot="1" x14ac:dyDescent="0.35">
      <c r="B107" s="32" t="s">
        <v>566</v>
      </c>
      <c r="C107" s="2"/>
      <c r="D107" s="25"/>
      <c r="E107" s="35"/>
    </row>
    <row r="108" spans="2:5" ht="15" thickBot="1" x14ac:dyDescent="0.35">
      <c r="B108" s="32" t="s">
        <v>567</v>
      </c>
      <c r="C108" s="2"/>
      <c r="D108" s="25"/>
      <c r="E108" s="35"/>
    </row>
    <row r="109" spans="2:5" ht="15" thickBot="1" x14ac:dyDescent="0.35">
      <c r="B109" s="32" t="s">
        <v>568</v>
      </c>
      <c r="C109" s="2"/>
      <c r="D109" s="25"/>
      <c r="E109" s="35"/>
    </row>
    <row r="110" spans="2:5" ht="15" thickBot="1" x14ac:dyDescent="0.35">
      <c r="B110" s="32" t="s">
        <v>569</v>
      </c>
      <c r="C110" s="2"/>
      <c r="D110" s="25"/>
      <c r="E110" s="35"/>
    </row>
    <row r="111" spans="2:5" ht="15" thickBot="1" x14ac:dyDescent="0.35">
      <c r="B111" s="32" t="s">
        <v>570</v>
      </c>
      <c r="C111" s="2"/>
      <c r="D111" s="25"/>
      <c r="E111" s="35"/>
    </row>
    <row r="112" spans="2:5" ht="15" thickBot="1" x14ac:dyDescent="0.35">
      <c r="B112" s="32" t="s">
        <v>571</v>
      </c>
      <c r="C112" s="2"/>
      <c r="D112" s="25"/>
      <c r="E112" s="35"/>
    </row>
    <row r="113" spans="2:5" ht="15" thickBot="1" x14ac:dyDescent="0.35">
      <c r="B113" s="32" t="s">
        <v>572</v>
      </c>
      <c r="C113" s="2"/>
      <c r="D113" s="25"/>
      <c r="E113" s="35"/>
    </row>
    <row r="114" spans="2:5" ht="15" thickBot="1" x14ac:dyDescent="0.35">
      <c r="B114" s="32" t="s">
        <v>573</v>
      </c>
      <c r="C114" s="2" t="s">
        <v>1565</v>
      </c>
      <c r="D114" s="25" t="s">
        <v>49</v>
      </c>
      <c r="E114" s="35" t="s">
        <v>58</v>
      </c>
    </row>
    <row r="115" spans="2:5" ht="15" thickBot="1" x14ac:dyDescent="0.35">
      <c r="B115" s="32" t="s">
        <v>574</v>
      </c>
      <c r="C115" s="2"/>
      <c r="D115" s="25"/>
      <c r="E115" s="35"/>
    </row>
    <row r="116" spans="2:5" ht="15" thickBot="1" x14ac:dyDescent="0.35">
      <c r="B116" s="32" t="s">
        <v>575</v>
      </c>
      <c r="C116" s="2"/>
      <c r="D116" s="25"/>
      <c r="E116" s="35"/>
    </row>
    <row r="117" spans="2:5" ht="15" thickBot="1" x14ac:dyDescent="0.35">
      <c r="B117" s="32" t="s">
        <v>576</v>
      </c>
      <c r="C117" s="2"/>
      <c r="D117" s="25"/>
      <c r="E117" s="35"/>
    </row>
    <row r="118" spans="2:5" ht="15" thickBot="1" x14ac:dyDescent="0.35">
      <c r="B118" s="32" t="s">
        <v>577</v>
      </c>
      <c r="C118" s="2"/>
      <c r="D118" s="25"/>
      <c r="E118" s="35"/>
    </row>
    <row r="119" spans="2:5" ht="15" thickBot="1" x14ac:dyDescent="0.35">
      <c r="B119" s="32" t="s">
        <v>578</v>
      </c>
      <c r="C119" s="2" t="s">
        <v>1505</v>
      </c>
      <c r="D119" s="25" t="s">
        <v>49</v>
      </c>
      <c r="E119" s="35" t="s">
        <v>108</v>
      </c>
    </row>
    <row r="120" spans="2:5" ht="15" thickBot="1" x14ac:dyDescent="0.35">
      <c r="B120" s="32" t="s">
        <v>579</v>
      </c>
      <c r="C120" s="2"/>
      <c r="D120" s="25"/>
      <c r="E120" s="35"/>
    </row>
    <row r="121" spans="2:5" ht="15" thickBot="1" x14ac:dyDescent="0.35">
      <c r="B121" s="32" t="s">
        <v>580</v>
      </c>
      <c r="C121" s="2"/>
      <c r="D121" s="25"/>
      <c r="E121" s="35"/>
    </row>
    <row r="122" spans="2:5" ht="15" thickBot="1" x14ac:dyDescent="0.35">
      <c r="B122" s="32" t="s">
        <v>581</v>
      </c>
      <c r="C122" s="2"/>
      <c r="D122" s="25"/>
      <c r="E122" s="35"/>
    </row>
    <row r="123" spans="2:5" ht="15" thickBot="1" x14ac:dyDescent="0.35">
      <c r="B123" s="32" t="s">
        <v>582</v>
      </c>
      <c r="C123" s="2"/>
      <c r="D123" s="25"/>
      <c r="E123" s="35"/>
    </row>
    <row r="124" spans="2:5" ht="15" thickBot="1" x14ac:dyDescent="0.35">
      <c r="B124" s="32" t="s">
        <v>583</v>
      </c>
      <c r="C124" s="2" t="s">
        <v>1532</v>
      </c>
      <c r="D124" s="25" t="s">
        <v>49</v>
      </c>
      <c r="E124" s="35" t="s">
        <v>1533</v>
      </c>
    </row>
    <row r="125" spans="2:5" ht="15" thickBot="1" x14ac:dyDescent="0.35">
      <c r="B125" s="32" t="s">
        <v>584</v>
      </c>
      <c r="C125" s="2"/>
      <c r="D125" s="25"/>
      <c r="E125" s="35"/>
    </row>
    <row r="126" spans="2:5" ht="15" thickBot="1" x14ac:dyDescent="0.35">
      <c r="B126" s="32" t="s">
        <v>585</v>
      </c>
      <c r="C126" s="2"/>
      <c r="D126" s="25"/>
      <c r="E126" s="35"/>
    </row>
    <row r="127" spans="2:5" ht="15" thickBot="1" x14ac:dyDescent="0.35">
      <c r="B127" s="32" t="s">
        <v>586</v>
      </c>
      <c r="C127" s="2"/>
      <c r="D127" s="25"/>
      <c r="E127" s="35"/>
    </row>
    <row r="128" spans="2:5" ht="15" thickBot="1" x14ac:dyDescent="0.35">
      <c r="B128" s="32" t="s">
        <v>587</v>
      </c>
      <c r="C128" s="2"/>
      <c r="D128" s="25"/>
      <c r="E128" s="35"/>
    </row>
    <row r="129" spans="2:5" ht="15" thickBot="1" x14ac:dyDescent="0.35">
      <c r="B129" s="32" t="s">
        <v>589</v>
      </c>
      <c r="C129" s="2"/>
      <c r="D129" s="25"/>
      <c r="E129" s="35"/>
    </row>
    <row r="130" spans="2:5" ht="15" thickBot="1" x14ac:dyDescent="0.35">
      <c r="B130" s="32" t="s">
        <v>590</v>
      </c>
      <c r="C130" s="2" t="s">
        <v>1566</v>
      </c>
      <c r="D130" s="25" t="s">
        <v>49</v>
      </c>
      <c r="E130" s="35" t="s">
        <v>277</v>
      </c>
    </row>
    <row r="131" spans="2:5" ht="15" thickBot="1" x14ac:dyDescent="0.35">
      <c r="B131" s="32" t="s">
        <v>591</v>
      </c>
      <c r="C131" s="2" t="s">
        <v>592</v>
      </c>
      <c r="D131" s="25" t="s">
        <v>49</v>
      </c>
      <c r="E131" s="35" t="s">
        <v>108</v>
      </c>
    </row>
    <row r="132" spans="2:5" ht="15" thickBot="1" x14ac:dyDescent="0.35">
      <c r="B132" s="32" t="s">
        <v>593</v>
      </c>
      <c r="C132" s="2" t="s">
        <v>594</v>
      </c>
      <c r="D132" s="25" t="s">
        <v>49</v>
      </c>
      <c r="E132" s="35" t="s">
        <v>277</v>
      </c>
    </row>
    <row r="133" spans="2:5" ht="15" thickBot="1" x14ac:dyDescent="0.35">
      <c r="B133" s="32" t="s">
        <v>595</v>
      </c>
      <c r="C133" s="2" t="s">
        <v>276</v>
      </c>
      <c r="D133" s="25" t="s">
        <v>49</v>
      </c>
      <c r="E133" s="35" t="s">
        <v>277</v>
      </c>
    </row>
    <row r="134" spans="2:5" ht="15" thickBot="1" x14ac:dyDescent="0.35">
      <c r="B134" s="32" t="s">
        <v>596</v>
      </c>
      <c r="C134" s="2"/>
      <c r="D134" s="25"/>
      <c r="E134" s="35"/>
    </row>
    <row r="135" spans="2:5" ht="15" thickBot="1" x14ac:dyDescent="0.35">
      <c r="B135" s="32" t="s">
        <v>597</v>
      </c>
      <c r="C135" s="2"/>
      <c r="D135" s="25"/>
      <c r="E135" s="35"/>
    </row>
    <row r="136" spans="2:5" ht="15" thickBot="1" x14ac:dyDescent="0.35">
      <c r="B136" s="32" t="s">
        <v>598</v>
      </c>
      <c r="C136" s="2"/>
      <c r="D136" s="25"/>
      <c r="E136" s="35"/>
    </row>
    <row r="137" spans="2:5" ht="15" thickBot="1" x14ac:dyDescent="0.35">
      <c r="B137" s="32" t="s">
        <v>599</v>
      </c>
      <c r="C137" s="2"/>
      <c r="D137" s="25"/>
      <c r="E137" s="35"/>
    </row>
    <row r="138" spans="2:5" ht="15" thickBot="1" x14ac:dyDescent="0.35">
      <c r="B138" s="32" t="s">
        <v>600</v>
      </c>
      <c r="C138" s="2" t="s">
        <v>107</v>
      </c>
      <c r="D138" s="25" t="s">
        <v>49</v>
      </c>
      <c r="E138" s="35" t="s">
        <v>108</v>
      </c>
    </row>
    <row r="139" spans="2:5" ht="15" thickBot="1" x14ac:dyDescent="0.35">
      <c r="B139" s="32" t="s">
        <v>601</v>
      </c>
      <c r="C139" s="2" t="s">
        <v>1567</v>
      </c>
      <c r="D139" s="25" t="s">
        <v>49</v>
      </c>
      <c r="E139" s="35" t="s">
        <v>1568</v>
      </c>
    </row>
    <row r="140" spans="2:5" ht="15" thickBot="1" x14ac:dyDescent="0.35">
      <c r="B140" s="32" t="s">
        <v>602</v>
      </c>
      <c r="C140" s="2"/>
      <c r="D140" s="25"/>
      <c r="E140" s="35"/>
    </row>
    <row r="141" spans="2:5" ht="15" thickBot="1" x14ac:dyDescent="0.35">
      <c r="B141" s="32" t="s">
        <v>603</v>
      </c>
      <c r="C141" s="2"/>
      <c r="D141" s="25"/>
      <c r="E141" s="35"/>
    </row>
    <row r="142" spans="2:5" ht="15" thickBot="1" x14ac:dyDescent="0.35">
      <c r="B142" s="32" t="s">
        <v>604</v>
      </c>
      <c r="C142" s="2"/>
      <c r="D142" s="25"/>
      <c r="E142" s="35"/>
    </row>
    <row r="143" spans="2:5" ht="15" thickBot="1" x14ac:dyDescent="0.35">
      <c r="B143" s="32" t="s">
        <v>605</v>
      </c>
      <c r="C143" s="2"/>
      <c r="D143" s="25"/>
      <c r="E143" s="35"/>
    </row>
    <row r="144" spans="2:5" ht="15" thickBot="1" x14ac:dyDescent="0.35">
      <c r="B144" s="32" t="s">
        <v>606</v>
      </c>
      <c r="C144" s="2"/>
      <c r="D144" s="25"/>
      <c r="E144" s="35"/>
    </row>
    <row r="145" spans="2:5" ht="15" thickBot="1" x14ac:dyDescent="0.35">
      <c r="B145" s="32" t="s">
        <v>607</v>
      </c>
      <c r="C145" s="2"/>
      <c r="D145" s="25"/>
      <c r="E145" s="35"/>
    </row>
    <row r="146" spans="2:5" ht="15" thickBot="1" x14ac:dyDescent="0.35">
      <c r="B146" s="32" t="s">
        <v>608</v>
      </c>
      <c r="C146" s="2"/>
      <c r="D146" s="25"/>
      <c r="E146" s="35"/>
    </row>
    <row r="147" spans="2:5" ht="15" thickBot="1" x14ac:dyDescent="0.35">
      <c r="B147" s="32" t="s">
        <v>609</v>
      </c>
      <c r="C147" s="2"/>
      <c r="D147" s="25"/>
      <c r="E147" s="35"/>
    </row>
    <row r="148" spans="2:5" ht="15" thickBot="1" x14ac:dyDescent="0.35">
      <c r="B148" s="32" t="s">
        <v>610</v>
      </c>
      <c r="C148" s="2"/>
      <c r="D148" s="25"/>
      <c r="E148" s="35"/>
    </row>
    <row r="149" spans="2:5" ht="15" thickBot="1" x14ac:dyDescent="0.35">
      <c r="B149" s="32" t="s">
        <v>611</v>
      </c>
      <c r="C149" s="2"/>
      <c r="D149" s="25"/>
      <c r="E149" s="35"/>
    </row>
    <row r="150" spans="2:5" ht="15" thickBot="1" x14ac:dyDescent="0.35">
      <c r="B150" s="32" t="s">
        <v>612</v>
      </c>
      <c r="C150" s="2"/>
      <c r="D150" s="25"/>
      <c r="E150" s="35"/>
    </row>
    <row r="151" spans="2:5" ht="15" thickBot="1" x14ac:dyDescent="0.35">
      <c r="B151" s="32" t="s">
        <v>613</v>
      </c>
      <c r="C151" s="2"/>
      <c r="D151" s="25"/>
      <c r="E151" s="35"/>
    </row>
    <row r="152" spans="2:5" ht="15" thickBot="1" x14ac:dyDescent="0.35">
      <c r="B152" s="32" t="s">
        <v>614</v>
      </c>
      <c r="C152" s="2"/>
      <c r="D152" s="25"/>
      <c r="E152" s="35"/>
    </row>
    <row r="153" spans="2:5" ht="15" thickBot="1" x14ac:dyDescent="0.35">
      <c r="B153" s="32" t="s">
        <v>615</v>
      </c>
      <c r="C153" s="2"/>
      <c r="D153" s="25"/>
      <c r="E153" s="35"/>
    </row>
    <row r="154" spans="2:5" ht="15" thickBot="1" x14ac:dyDescent="0.35">
      <c r="B154" s="32" t="s">
        <v>616</v>
      </c>
      <c r="C154" s="2"/>
      <c r="D154" s="25"/>
      <c r="E154" s="35"/>
    </row>
    <row r="155" spans="2:5" ht="15" thickBot="1" x14ac:dyDescent="0.35">
      <c r="B155" s="32" t="s">
        <v>617</v>
      </c>
      <c r="C155" s="2"/>
      <c r="D155" s="25"/>
      <c r="E155" s="35"/>
    </row>
    <row r="156" spans="2:5" ht="15" thickBot="1" x14ac:dyDescent="0.35">
      <c r="B156" s="32" t="s">
        <v>618</v>
      </c>
      <c r="C156" s="2"/>
      <c r="D156" s="25"/>
      <c r="E156" s="35"/>
    </row>
    <row r="157" spans="2:5" ht="15" thickBot="1" x14ac:dyDescent="0.35">
      <c r="B157" s="32" t="s">
        <v>619</v>
      </c>
      <c r="C157" s="2"/>
      <c r="D157" s="25"/>
      <c r="E157" s="35"/>
    </row>
    <row r="158" spans="2:5" ht="15" thickBot="1" x14ac:dyDescent="0.35">
      <c r="B158" s="32" t="s">
        <v>620</v>
      </c>
      <c r="C158" s="2"/>
      <c r="D158" s="25"/>
      <c r="E158" s="35"/>
    </row>
    <row r="159" spans="2:5" ht="15" thickBot="1" x14ac:dyDescent="0.35">
      <c r="B159" s="32" t="s">
        <v>621</v>
      </c>
      <c r="C159" s="2"/>
      <c r="D159" s="25"/>
      <c r="E159" s="35"/>
    </row>
    <row r="160" spans="2:5" ht="15" thickBot="1" x14ac:dyDescent="0.35">
      <c r="B160" s="32" t="s">
        <v>622</v>
      </c>
      <c r="C160" s="4"/>
      <c r="D160" s="25"/>
      <c r="E160" s="35"/>
    </row>
    <row r="161" spans="2:5" ht="15" thickBot="1" x14ac:dyDescent="0.35">
      <c r="B161" s="32" t="s">
        <v>623</v>
      </c>
      <c r="C161" s="2"/>
      <c r="D161" s="25"/>
      <c r="E161" s="35"/>
    </row>
    <row r="162" spans="2:5" ht="15" thickBot="1" x14ac:dyDescent="0.35">
      <c r="B162" s="32" t="s">
        <v>624</v>
      </c>
      <c r="C162" s="2" t="s">
        <v>1558</v>
      </c>
      <c r="D162" s="25" t="s">
        <v>49</v>
      </c>
      <c r="E162" s="35" t="s">
        <v>98</v>
      </c>
    </row>
    <row r="163" spans="2:5" ht="15" thickBot="1" x14ac:dyDescent="0.35">
      <c r="B163" s="32" t="s">
        <v>625</v>
      </c>
      <c r="C163" s="2" t="s">
        <v>626</v>
      </c>
      <c r="D163" s="25" t="s">
        <v>49</v>
      </c>
      <c r="E163" s="35" t="s">
        <v>304</v>
      </c>
    </row>
    <row r="164" spans="2:5" ht="15" thickBot="1" x14ac:dyDescent="0.35">
      <c r="B164" s="32" t="s">
        <v>627</v>
      </c>
      <c r="C164" s="2"/>
      <c r="D164" s="25"/>
      <c r="E164" s="35"/>
    </row>
    <row r="165" spans="2:5" ht="15" thickBot="1" x14ac:dyDescent="0.35">
      <c r="B165" s="32" t="s">
        <v>628</v>
      </c>
      <c r="C165" s="2"/>
      <c r="D165" s="25"/>
      <c r="E165" s="35"/>
    </row>
    <row r="166" spans="2:5" ht="15" thickBot="1" x14ac:dyDescent="0.35">
      <c r="B166" s="32" t="s">
        <v>629</v>
      </c>
      <c r="C166" s="2"/>
      <c r="D166" s="25"/>
      <c r="E166" s="35"/>
    </row>
    <row r="167" spans="2:5" ht="15" thickBot="1" x14ac:dyDescent="0.35">
      <c r="B167" s="32" t="s">
        <v>630</v>
      </c>
      <c r="C167" s="2" t="s">
        <v>631</v>
      </c>
      <c r="D167" s="25" t="s">
        <v>49</v>
      </c>
      <c r="E167" s="35" t="s">
        <v>108</v>
      </c>
    </row>
    <row r="168" spans="2:5" ht="15" thickBot="1" x14ac:dyDescent="0.35">
      <c r="B168" s="32" t="s">
        <v>632</v>
      </c>
      <c r="C168" s="2"/>
      <c r="D168" s="25"/>
      <c r="E168" s="35"/>
    </row>
    <row r="169" spans="2:5" ht="15" thickBot="1" x14ac:dyDescent="0.35">
      <c r="B169" s="32" t="s">
        <v>633</v>
      </c>
      <c r="C169" s="2"/>
      <c r="D169" s="25"/>
      <c r="E169" s="35"/>
    </row>
    <row r="170" spans="2:5" ht="15" thickBot="1" x14ac:dyDescent="0.35">
      <c r="B170" s="32" t="s">
        <v>634</v>
      </c>
      <c r="C170" s="2"/>
      <c r="D170" s="25"/>
      <c r="E170" s="35"/>
    </row>
    <row r="171" spans="2:5" ht="15" thickBot="1" x14ac:dyDescent="0.35">
      <c r="B171" s="32" t="s">
        <v>635</v>
      </c>
      <c r="C171" s="2"/>
      <c r="D171" s="25"/>
      <c r="E171" s="35"/>
    </row>
    <row r="172" spans="2:5" ht="15" thickBot="1" x14ac:dyDescent="0.35">
      <c r="B172" s="32" t="s">
        <v>636</v>
      </c>
      <c r="C172" s="2"/>
      <c r="D172" s="25"/>
      <c r="E172" s="35"/>
    </row>
    <row r="173" spans="2:5" ht="15" thickBot="1" x14ac:dyDescent="0.35">
      <c r="B173" s="32" t="s">
        <v>637</v>
      </c>
      <c r="C173" s="2"/>
      <c r="D173" s="25"/>
      <c r="E173" s="35"/>
    </row>
    <row r="174" spans="2:5" ht="15" thickBot="1" x14ac:dyDescent="0.35">
      <c r="B174" s="32" t="s">
        <v>638</v>
      </c>
      <c r="C174" s="2"/>
      <c r="D174" s="25"/>
      <c r="E174" s="35"/>
    </row>
    <row r="175" spans="2:5" ht="15" thickBot="1" x14ac:dyDescent="0.35">
      <c r="B175" s="32" t="s">
        <v>639</v>
      </c>
      <c r="C175" s="2"/>
      <c r="D175" s="25"/>
      <c r="E175" s="35"/>
    </row>
    <row r="176" spans="2:5" ht="15" thickBot="1" x14ac:dyDescent="0.35">
      <c r="B176" s="32" t="s">
        <v>640</v>
      </c>
      <c r="C176" s="2"/>
      <c r="D176" s="25"/>
      <c r="E176" s="35"/>
    </row>
    <row r="177" spans="2:5" ht="15" thickBot="1" x14ac:dyDescent="0.35">
      <c r="B177" s="32" t="s">
        <v>641</v>
      </c>
      <c r="C177" s="2" t="s">
        <v>1556</v>
      </c>
      <c r="D177" s="25"/>
      <c r="E177" s="35"/>
    </row>
    <row r="178" spans="2:5" ht="15" thickBot="1" x14ac:dyDescent="0.35">
      <c r="B178" s="32" t="s">
        <v>642</v>
      </c>
      <c r="C178" s="38"/>
      <c r="D178" s="25"/>
      <c r="E178" s="35"/>
    </row>
    <row r="179" spans="2:5" ht="15" thickBot="1" x14ac:dyDescent="0.35">
      <c r="B179" s="32" t="s">
        <v>643</v>
      </c>
      <c r="C179" s="2"/>
      <c r="D179" s="25"/>
      <c r="E179" s="35"/>
    </row>
    <row r="180" spans="2:5" ht="15" thickBot="1" x14ac:dyDescent="0.35">
      <c r="B180" s="32" t="s">
        <v>644</v>
      </c>
      <c r="C180" s="2"/>
      <c r="D180" s="25"/>
      <c r="E180" s="35"/>
    </row>
    <row r="181" spans="2:5" ht="15" thickBot="1" x14ac:dyDescent="0.35">
      <c r="B181" s="32" t="s">
        <v>645</v>
      </c>
      <c r="C181" s="2"/>
      <c r="D181" s="25"/>
      <c r="E181" s="35"/>
    </row>
    <row r="182" spans="2:5" ht="15" thickBot="1" x14ac:dyDescent="0.35">
      <c r="B182" s="32" t="s">
        <v>646</v>
      </c>
      <c r="C182" s="2" t="s">
        <v>1582</v>
      </c>
      <c r="D182" s="25" t="s">
        <v>49</v>
      </c>
      <c r="E182" s="35" t="s">
        <v>1555</v>
      </c>
    </row>
    <row r="183" spans="2:5" ht="15" thickBot="1" x14ac:dyDescent="0.35">
      <c r="B183" s="32" t="s">
        <v>647</v>
      </c>
      <c r="C183" s="2"/>
      <c r="D183" s="25"/>
      <c r="E183" s="35"/>
    </row>
    <row r="184" spans="2:5" ht="15" thickBot="1" x14ac:dyDescent="0.35">
      <c r="B184" s="32" t="s">
        <v>648</v>
      </c>
      <c r="C184" s="2"/>
      <c r="D184" s="25"/>
      <c r="E184" s="35"/>
    </row>
    <row r="185" spans="2:5" ht="15" thickBot="1" x14ac:dyDescent="0.35">
      <c r="B185" s="32" t="s">
        <v>649</v>
      </c>
      <c r="C185" s="2"/>
      <c r="D185" s="25"/>
      <c r="E185" s="35"/>
    </row>
    <row r="186" spans="2:5" ht="15" thickBot="1" x14ac:dyDescent="0.35">
      <c r="B186" s="32" t="s">
        <v>650</v>
      </c>
      <c r="C186" s="2"/>
      <c r="D186" s="25"/>
      <c r="E186" s="35"/>
    </row>
    <row r="187" spans="2:5" ht="15" thickBot="1" x14ac:dyDescent="0.35">
      <c r="B187" s="32" t="s">
        <v>651</v>
      </c>
      <c r="C187" s="2" t="s">
        <v>588</v>
      </c>
      <c r="D187" s="25" t="s">
        <v>49</v>
      </c>
      <c r="E187" s="35" t="s">
        <v>27</v>
      </c>
    </row>
    <row r="188" spans="2:5" ht="15" thickBot="1" x14ac:dyDescent="0.35">
      <c r="B188" s="32" t="s">
        <v>652</v>
      </c>
      <c r="C188" s="2"/>
      <c r="D188" s="25"/>
      <c r="E188" s="35"/>
    </row>
    <row r="189" spans="2:5" ht="15" thickBot="1" x14ac:dyDescent="0.35">
      <c r="B189" s="32" t="s">
        <v>653</v>
      </c>
      <c r="C189" s="2"/>
      <c r="D189" s="25"/>
      <c r="E189" s="35"/>
    </row>
    <row r="190" spans="2:5" ht="15" thickBot="1" x14ac:dyDescent="0.35">
      <c r="B190" s="32" t="s">
        <v>654</v>
      </c>
      <c r="C190" s="2" t="s">
        <v>1554</v>
      </c>
      <c r="D190" s="25" t="s">
        <v>49</v>
      </c>
      <c r="E190" s="35" t="s">
        <v>1555</v>
      </c>
    </row>
    <row r="191" spans="2:5" ht="15" thickBot="1" x14ac:dyDescent="0.35">
      <c r="B191" s="32" t="s">
        <v>655</v>
      </c>
      <c r="C191" s="4"/>
      <c r="D191" s="25"/>
      <c r="E191" s="35"/>
    </row>
    <row r="192" spans="2:5" ht="15" thickBot="1" x14ac:dyDescent="0.35">
      <c r="B192" s="32" t="s">
        <v>656</v>
      </c>
      <c r="C192" s="4"/>
      <c r="D192" s="25"/>
      <c r="E192" s="35"/>
    </row>
    <row r="193" spans="2:5" ht="15" thickBot="1" x14ac:dyDescent="0.35">
      <c r="B193" s="32" t="s">
        <v>657</v>
      </c>
      <c r="C193" s="2"/>
      <c r="D193" s="25"/>
      <c r="E193" s="35"/>
    </row>
    <row r="194" spans="2:5" ht="15" thickBot="1" x14ac:dyDescent="0.35">
      <c r="B194" s="32" t="s">
        <v>658</v>
      </c>
      <c r="C194" s="2"/>
      <c r="D194" s="25"/>
      <c r="E194" s="35"/>
    </row>
    <row r="195" spans="2:5" ht="15" thickBot="1" x14ac:dyDescent="0.35">
      <c r="B195" s="32" t="s">
        <v>659</v>
      </c>
      <c r="C195" s="2"/>
      <c r="D195" s="25"/>
      <c r="E195" s="35"/>
    </row>
    <row r="196" spans="2:5" ht="15" thickBot="1" x14ac:dyDescent="0.35">
      <c r="B196" s="32" t="s">
        <v>660</v>
      </c>
      <c r="C196" s="2"/>
      <c r="D196" s="25"/>
      <c r="E196" s="39"/>
    </row>
    <row r="197" spans="2:5" ht="15" thickBot="1" x14ac:dyDescent="0.35">
      <c r="B197" s="32" t="s">
        <v>661</v>
      </c>
      <c r="C197" s="2"/>
      <c r="D197" s="25"/>
      <c r="E197" s="35"/>
    </row>
    <row r="198" spans="2:5" ht="15" thickBot="1" x14ac:dyDescent="0.35">
      <c r="B198" s="32" t="s">
        <v>662</v>
      </c>
      <c r="C198" s="2"/>
      <c r="D198" s="25"/>
      <c r="E198" s="35"/>
    </row>
    <row r="199" spans="2:5" ht="15" thickBot="1" x14ac:dyDescent="0.35">
      <c r="B199" s="32" t="s">
        <v>1564</v>
      </c>
      <c r="C199" s="2"/>
      <c r="D199" s="25"/>
      <c r="E199" s="39"/>
    </row>
    <row r="200" spans="2:5" ht="15" thickBot="1" x14ac:dyDescent="0.35">
      <c r="B200" s="32" t="s">
        <v>663</v>
      </c>
      <c r="C200" s="2"/>
      <c r="D200" s="25"/>
      <c r="E200" s="35"/>
    </row>
    <row r="201" spans="2:5" ht="15" thickBot="1" x14ac:dyDescent="0.35">
      <c r="B201" s="32" t="s">
        <v>664</v>
      </c>
      <c r="C201" s="2"/>
      <c r="D201" s="25"/>
      <c r="E201" s="39"/>
    </row>
    <row r="202" spans="2:5" ht="15" thickBot="1" x14ac:dyDescent="0.35">
      <c r="B202" s="32" t="s">
        <v>665</v>
      </c>
      <c r="C202" s="2"/>
      <c r="D202" s="25"/>
      <c r="E202" s="35"/>
    </row>
    <row r="203" spans="2:5" ht="15" thickBot="1" x14ac:dyDescent="0.35">
      <c r="B203" s="32" t="s">
        <v>666</v>
      </c>
      <c r="C203" s="2"/>
      <c r="D203" s="25"/>
      <c r="E203" s="35"/>
    </row>
    <row r="204" spans="2:5" ht="15" thickBot="1" x14ac:dyDescent="0.35">
      <c r="B204" s="32" t="s">
        <v>667</v>
      </c>
      <c r="C204" s="2"/>
      <c r="D204" s="25"/>
      <c r="E204" s="35"/>
    </row>
    <row r="205" spans="2:5" ht="15" thickBot="1" x14ac:dyDescent="0.35">
      <c r="B205" s="32" t="s">
        <v>668</v>
      </c>
      <c r="C205" s="2"/>
      <c r="D205" s="25"/>
      <c r="E205" s="35"/>
    </row>
    <row r="206" spans="2:5" ht="15" thickBot="1" x14ac:dyDescent="0.35">
      <c r="B206" s="32" t="s">
        <v>669</v>
      </c>
      <c r="C206" s="2"/>
      <c r="D206" s="26"/>
      <c r="E206" s="39"/>
    </row>
    <row r="207" spans="2:5" ht="15" thickBot="1" x14ac:dyDescent="0.35">
      <c r="B207" s="32" t="s">
        <v>670</v>
      </c>
      <c r="C207" s="2"/>
      <c r="D207" s="25"/>
      <c r="E207" s="35"/>
    </row>
    <row r="208" spans="2:5" ht="15" thickBot="1" x14ac:dyDescent="0.35">
      <c r="B208" s="32" t="s">
        <v>671</v>
      </c>
      <c r="C208" s="2" t="s">
        <v>1573</v>
      </c>
      <c r="D208" s="25" t="s">
        <v>49</v>
      </c>
      <c r="E208" s="39" t="s">
        <v>27</v>
      </c>
    </row>
    <row r="209" spans="2:5" ht="15" thickBot="1" x14ac:dyDescent="0.35">
      <c r="B209" s="32" t="s">
        <v>672</v>
      </c>
      <c r="C209" s="4"/>
      <c r="D209" s="27"/>
      <c r="E209" s="35"/>
    </row>
    <row r="210" spans="2:5" ht="15" thickBot="1" x14ac:dyDescent="0.35">
      <c r="B210" s="32" t="s">
        <v>673</v>
      </c>
      <c r="C210" s="2"/>
      <c r="D210" s="25"/>
      <c r="E210" s="35"/>
    </row>
    <row r="211" spans="2:5" ht="15" thickBot="1" x14ac:dyDescent="0.35">
      <c r="B211" s="32" t="s">
        <v>674</v>
      </c>
      <c r="C211" s="2"/>
      <c r="D211" s="25"/>
      <c r="E211" s="35"/>
    </row>
    <row r="212" spans="2:5" ht="15" thickBot="1" x14ac:dyDescent="0.35">
      <c r="B212" s="32" t="s">
        <v>675</v>
      </c>
      <c r="C212" s="2"/>
      <c r="D212" s="25"/>
      <c r="E212" s="35"/>
    </row>
    <row r="213" spans="2:5" ht="15" thickBot="1" x14ac:dyDescent="0.35">
      <c r="B213" s="32" t="s">
        <v>676</v>
      </c>
      <c r="C213" s="4"/>
      <c r="D213" s="27"/>
      <c r="E213" s="35"/>
    </row>
    <row r="214" spans="2:5" ht="15" thickBot="1" x14ac:dyDescent="0.35">
      <c r="B214" s="32" t="s">
        <v>677</v>
      </c>
      <c r="C214" s="2"/>
      <c r="D214" s="25"/>
      <c r="E214" s="35"/>
    </row>
    <row r="215" spans="2:5" ht="15" thickBot="1" x14ac:dyDescent="0.35">
      <c r="B215" s="32" t="s">
        <v>678</v>
      </c>
      <c r="C215" s="2" t="s">
        <v>1579</v>
      </c>
      <c r="D215" s="25" t="s">
        <v>49</v>
      </c>
      <c r="E215" s="35" t="s">
        <v>1546</v>
      </c>
    </row>
    <row r="216" spans="2:5" ht="15" thickBot="1" x14ac:dyDescent="0.35">
      <c r="B216" s="32" t="s">
        <v>679</v>
      </c>
      <c r="C216" s="4" t="s">
        <v>1506</v>
      </c>
      <c r="D216" s="25" t="s">
        <v>49</v>
      </c>
      <c r="E216" s="35" t="s">
        <v>108</v>
      </c>
    </row>
    <row r="217" spans="2:5" ht="15" thickBot="1" x14ac:dyDescent="0.35">
      <c r="B217" s="32" t="s">
        <v>680</v>
      </c>
      <c r="C217" s="2" t="s">
        <v>681</v>
      </c>
      <c r="D217" s="25" t="s">
        <v>349</v>
      </c>
      <c r="E217" s="35" t="s">
        <v>58</v>
      </c>
    </row>
    <row r="218" spans="2:5" ht="15" thickBot="1" x14ac:dyDescent="0.35">
      <c r="B218" s="32" t="s">
        <v>682</v>
      </c>
      <c r="C218" s="2" t="s">
        <v>1571</v>
      </c>
      <c r="D218" s="25" t="s">
        <v>49</v>
      </c>
      <c r="E218" s="35" t="s">
        <v>98</v>
      </c>
    </row>
    <row r="219" spans="2:5" ht="15" thickBot="1" x14ac:dyDescent="0.35">
      <c r="B219" s="32" t="s">
        <v>683</v>
      </c>
      <c r="C219" s="2"/>
      <c r="D219" s="25"/>
      <c r="E219" s="35"/>
    </row>
    <row r="220" spans="2:5" ht="15" thickBot="1" x14ac:dyDescent="0.35">
      <c r="B220" s="32" t="s">
        <v>684</v>
      </c>
      <c r="C220" s="2"/>
      <c r="D220" s="25"/>
      <c r="E220" s="35"/>
    </row>
    <row r="221" spans="2:5" ht="15" thickBot="1" x14ac:dyDescent="0.35">
      <c r="B221" s="32" t="s">
        <v>685</v>
      </c>
      <c r="C221" s="2" t="s">
        <v>1055</v>
      </c>
      <c r="D221" s="25" t="s">
        <v>49</v>
      </c>
      <c r="E221" s="35" t="s">
        <v>27</v>
      </c>
    </row>
    <row r="222" spans="2:5" ht="15" thickBot="1" x14ac:dyDescent="0.35">
      <c r="B222" s="32" t="s">
        <v>686</v>
      </c>
      <c r="C222" s="2"/>
      <c r="D222" s="25"/>
      <c r="E222" s="35"/>
    </row>
    <row r="223" spans="2:5" ht="15" thickBot="1" x14ac:dyDescent="0.35">
      <c r="B223" s="32" t="s">
        <v>687</v>
      </c>
      <c r="C223" s="2"/>
      <c r="D223" s="25"/>
      <c r="E223" s="35"/>
    </row>
    <row r="224" spans="2:5" ht="15" thickBot="1" x14ac:dyDescent="0.35">
      <c r="B224" s="32" t="s">
        <v>688</v>
      </c>
      <c r="C224" s="2"/>
      <c r="D224" s="25"/>
      <c r="E224" s="35"/>
    </row>
    <row r="225" spans="2:5" ht="15" thickBot="1" x14ac:dyDescent="0.35">
      <c r="B225" s="32" t="s">
        <v>689</v>
      </c>
      <c r="C225" s="2"/>
      <c r="D225" s="25"/>
      <c r="E225" s="35"/>
    </row>
    <row r="226" spans="2:5" ht="15" thickBot="1" x14ac:dyDescent="0.35">
      <c r="B226" s="32" t="s">
        <v>690</v>
      </c>
      <c r="C226" s="2"/>
      <c r="D226" s="25"/>
      <c r="E226" s="35"/>
    </row>
    <row r="227" spans="2:5" ht="15" thickBot="1" x14ac:dyDescent="0.35">
      <c r="B227" s="32" t="s">
        <v>691</v>
      </c>
      <c r="C227" s="2"/>
      <c r="D227" s="25"/>
      <c r="E227" s="35"/>
    </row>
    <row r="228" spans="2:5" ht="15" thickBot="1" x14ac:dyDescent="0.35">
      <c r="B228" s="32" t="s">
        <v>692</v>
      </c>
      <c r="C228" s="4"/>
      <c r="D228" s="27"/>
      <c r="E228" s="35"/>
    </row>
    <row r="229" spans="2:5" ht="15" thickBot="1" x14ac:dyDescent="0.35">
      <c r="B229" s="32" t="s">
        <v>693</v>
      </c>
      <c r="C229" s="2"/>
      <c r="D229" s="25"/>
      <c r="E229" s="35"/>
    </row>
    <row r="230" spans="2:5" ht="15" thickBot="1" x14ac:dyDescent="0.35">
      <c r="B230" s="32" t="s">
        <v>694</v>
      </c>
      <c r="C230" s="2"/>
      <c r="D230" s="25"/>
      <c r="E230" s="35"/>
    </row>
    <row r="231" spans="2:5" ht="15" thickBot="1" x14ac:dyDescent="0.35">
      <c r="B231" s="32" t="s">
        <v>695</v>
      </c>
      <c r="C231" s="2"/>
      <c r="D231" s="25"/>
      <c r="E231" s="35"/>
    </row>
    <row r="232" spans="2:5" ht="15" thickBot="1" x14ac:dyDescent="0.35">
      <c r="B232" s="32" t="s">
        <v>696</v>
      </c>
      <c r="C232" s="2"/>
      <c r="D232" s="25"/>
      <c r="E232" s="35"/>
    </row>
    <row r="233" spans="2:5" ht="15" thickBot="1" x14ac:dyDescent="0.35">
      <c r="B233" s="32" t="s">
        <v>697</v>
      </c>
      <c r="C233" s="2"/>
      <c r="D233" s="25"/>
      <c r="E233" s="35"/>
    </row>
    <row r="234" spans="2:5" ht="15" thickBot="1" x14ac:dyDescent="0.35">
      <c r="B234" s="32" t="s">
        <v>698</v>
      </c>
      <c r="C234" s="38"/>
      <c r="D234" s="25"/>
      <c r="E234" s="35"/>
    </row>
    <row r="235" spans="2:5" ht="15" thickBot="1" x14ac:dyDescent="0.35">
      <c r="B235" s="32" t="s">
        <v>699</v>
      </c>
      <c r="C235" s="2"/>
      <c r="D235" s="25"/>
      <c r="E235" s="35"/>
    </row>
    <row r="236" spans="2:5" ht="15" thickBot="1" x14ac:dyDescent="0.35">
      <c r="B236" s="32" t="s">
        <v>700</v>
      </c>
      <c r="C236" s="2"/>
      <c r="D236" s="25"/>
      <c r="E236" s="39"/>
    </row>
    <row r="237" spans="2:5" ht="15" thickBot="1" x14ac:dyDescent="0.35">
      <c r="B237" s="32" t="s">
        <v>701</v>
      </c>
      <c r="C237" s="2"/>
      <c r="D237" s="25"/>
      <c r="E237" s="35"/>
    </row>
    <row r="238" spans="2:5" ht="15" thickBot="1" x14ac:dyDescent="0.35">
      <c r="B238" s="32" t="s">
        <v>702</v>
      </c>
      <c r="C238" s="2"/>
      <c r="D238" s="25"/>
      <c r="E238" s="35"/>
    </row>
    <row r="239" spans="2:5" ht="15" thickBot="1" x14ac:dyDescent="0.35">
      <c r="B239" s="32" t="s">
        <v>703</v>
      </c>
      <c r="C239" s="2"/>
      <c r="D239" s="25"/>
      <c r="E239" s="35"/>
    </row>
    <row r="240" spans="2:5" ht="15" thickBot="1" x14ac:dyDescent="0.35">
      <c r="B240" s="32" t="s">
        <v>704</v>
      </c>
      <c r="C240" s="2" t="s">
        <v>1569</v>
      </c>
      <c r="D240" s="25" t="s">
        <v>49</v>
      </c>
      <c r="E240" s="35" t="s">
        <v>190</v>
      </c>
    </row>
    <row r="241" spans="2:5" ht="15" thickBot="1" x14ac:dyDescent="0.35">
      <c r="B241" s="32" t="s">
        <v>705</v>
      </c>
      <c r="C241" s="2"/>
      <c r="D241" s="25"/>
      <c r="E241" s="35"/>
    </row>
    <row r="242" spans="2:5" ht="15" thickBot="1" x14ac:dyDescent="0.35">
      <c r="B242" s="32" t="s">
        <v>706</v>
      </c>
      <c r="C242" s="2"/>
      <c r="D242" s="25"/>
      <c r="E242" s="35"/>
    </row>
    <row r="243" spans="2:5" ht="15" thickBot="1" x14ac:dyDescent="0.35">
      <c r="B243" s="32" t="s">
        <v>707</v>
      </c>
      <c r="C243" s="40"/>
      <c r="D243" s="25"/>
      <c r="E243" s="35"/>
    </row>
    <row r="244" spans="2:5" ht="15" thickBot="1" x14ac:dyDescent="0.35">
      <c r="B244" s="32" t="s">
        <v>708</v>
      </c>
      <c r="C244" s="2"/>
      <c r="D244" s="25"/>
      <c r="E244" s="35"/>
    </row>
    <row r="245" spans="2:5" ht="15" thickBot="1" x14ac:dyDescent="0.35">
      <c r="B245" s="32" t="s">
        <v>709</v>
      </c>
      <c r="C245" s="2"/>
      <c r="D245" s="25"/>
      <c r="E245" s="35"/>
    </row>
    <row r="246" spans="2:5" ht="15" thickBot="1" x14ac:dyDescent="0.35">
      <c r="B246" s="32" t="s">
        <v>710</v>
      </c>
      <c r="C246" s="22"/>
      <c r="D246" s="28"/>
      <c r="E246" s="41"/>
    </row>
    <row r="247" spans="2:5" ht="15" thickBot="1" x14ac:dyDescent="0.35">
      <c r="B247" s="32" t="s">
        <v>711</v>
      </c>
      <c r="C247" s="2"/>
      <c r="D247" s="25"/>
      <c r="E247" s="35"/>
    </row>
    <row r="248" spans="2:5" ht="15" thickBot="1" x14ac:dyDescent="0.35">
      <c r="B248" s="32" t="s">
        <v>712</v>
      </c>
      <c r="C248" s="2"/>
      <c r="D248" s="25"/>
      <c r="E248" s="35"/>
    </row>
    <row r="249" spans="2:5" ht="15" thickBot="1" x14ac:dyDescent="0.35">
      <c r="B249" s="32" t="s">
        <v>713</v>
      </c>
      <c r="C249" s="2" t="s">
        <v>714</v>
      </c>
      <c r="D249" s="25" t="s">
        <v>349</v>
      </c>
      <c r="E249" s="35" t="s">
        <v>277</v>
      </c>
    </row>
    <row r="250" spans="2:5" ht="15" thickBot="1" x14ac:dyDescent="0.35">
      <c r="B250" s="32" t="s">
        <v>715</v>
      </c>
      <c r="C250" s="4"/>
      <c r="D250" s="25"/>
      <c r="E250" s="35"/>
    </row>
    <row r="251" spans="2:5" ht="15" thickBot="1" x14ac:dyDescent="0.35">
      <c r="B251" s="32" t="s">
        <v>716</v>
      </c>
      <c r="C251" s="2" t="s">
        <v>717</v>
      </c>
      <c r="D251" s="25" t="s">
        <v>349</v>
      </c>
      <c r="E251" s="35" t="s">
        <v>127</v>
      </c>
    </row>
    <row r="252" spans="2:5" ht="15" thickBot="1" x14ac:dyDescent="0.35">
      <c r="B252" s="32" t="s">
        <v>718</v>
      </c>
      <c r="C252" s="4"/>
      <c r="D252" s="25"/>
      <c r="E252" s="35"/>
    </row>
    <row r="253" spans="2:5" ht="15" thickBot="1" x14ac:dyDescent="0.35">
      <c r="B253" s="32" t="s">
        <v>719</v>
      </c>
      <c r="C253" s="2"/>
      <c r="D253" s="25"/>
      <c r="E253" s="35"/>
    </row>
    <row r="254" spans="2:5" ht="15" thickBot="1" x14ac:dyDescent="0.35">
      <c r="B254" s="32" t="s">
        <v>720</v>
      </c>
      <c r="C254" s="2"/>
      <c r="D254" s="25"/>
      <c r="E254" s="35"/>
    </row>
    <row r="255" spans="2:5" ht="15" thickBot="1" x14ac:dyDescent="0.35">
      <c r="B255" s="32" t="s">
        <v>721</v>
      </c>
      <c r="C255" s="2"/>
      <c r="D255" s="25"/>
      <c r="E255" s="35"/>
    </row>
    <row r="256" spans="2:5" ht="15" thickBot="1" x14ac:dyDescent="0.35">
      <c r="B256" s="32" t="s">
        <v>722</v>
      </c>
      <c r="C256" s="2" t="s">
        <v>723</v>
      </c>
      <c r="D256" s="25" t="s">
        <v>49</v>
      </c>
      <c r="E256" s="35" t="s">
        <v>304</v>
      </c>
    </row>
    <row r="257" spans="2:5" ht="15" thickBot="1" x14ac:dyDescent="0.35">
      <c r="B257" s="32" t="s">
        <v>724</v>
      </c>
      <c r="C257" s="2" t="s">
        <v>725</v>
      </c>
      <c r="D257" s="25" t="s">
        <v>49</v>
      </c>
      <c r="E257" s="35" t="s">
        <v>304</v>
      </c>
    </row>
    <row r="258" spans="2:5" ht="15" thickBot="1" x14ac:dyDescent="0.35">
      <c r="B258" s="32" t="s">
        <v>726</v>
      </c>
      <c r="C258" s="2" t="s">
        <v>727</v>
      </c>
      <c r="D258" s="25" t="s">
        <v>49</v>
      </c>
      <c r="E258" s="35" t="s">
        <v>304</v>
      </c>
    </row>
    <row r="259" spans="2:5" ht="15" thickBot="1" x14ac:dyDescent="0.35">
      <c r="B259" s="32" t="s">
        <v>728</v>
      </c>
      <c r="C259" s="43" t="s">
        <v>449</v>
      </c>
      <c r="D259" s="44"/>
      <c r="E259" s="45"/>
    </row>
  </sheetData>
  <autoFilter ref="B4:E259" xr:uid="{BD0621AD-3D74-4A55-BF1B-DCEFFD27F88F}"/>
  <mergeCells count="1">
    <mergeCell ref="B2:E2"/>
  </mergeCells>
  <phoneticPr fontId="10" type="noConversion"/>
  <conditionalFormatting sqref="C3:C233 C235:C242 C244:C245 C246:E246 C247:C1048576">
    <cfRule type="containsText" dxfId="116" priority="45" operator="containsText" text="libre">
      <formula>NOT(ISERROR(SEARCH("libre",C3)))</formula>
    </cfRule>
  </conditionalFormatting>
  <conditionalFormatting sqref="C5:E259">
    <cfRule type="expression" dxfId="115" priority="9">
      <formula>OR($C5="¿?",$D5="¿?")</formula>
    </cfRule>
    <cfRule type="expression" dxfId="114" priority="10" stopIfTrue="1">
      <formula>OR($C5="LIBRE",$D5="LIBRE")</formula>
    </cfRule>
  </conditionalFormatting>
  <conditionalFormatting sqref="D3:D245 E36 D247:D1048576">
    <cfRule type="containsText" dxfId="113" priority="35" operator="containsText" text="SENSOR ">
      <formula>NOT(ISERROR(SEARCH("SENSOR ",D3)))</formula>
    </cfRule>
    <cfRule type="containsText" dxfId="112" priority="36" operator="containsText" text="TELEFONO">
      <formula>NOT(ISERROR(SEARCH("TELEFONO",D3)))</formula>
    </cfRule>
    <cfRule type="containsText" dxfId="111" priority="37" operator="containsText" text="BOTONERA">
      <formula>NOT(ISERROR(SEARCH("BOTONERA",D3)))</formula>
    </cfRule>
    <cfRule type="containsText" dxfId="110" priority="38" operator="containsText" text="RELOJ TALANA">
      <formula>NOT(ISERROR(SEARCH("RELOJ TALANA",D3)))</formula>
    </cfRule>
    <cfRule type="containsText" dxfId="109" priority="39" operator="containsText" text="IMPRESORA">
      <formula>NOT(ISERROR(SEARCH("IMPRESORA",D3)))</formula>
    </cfRule>
    <cfRule type="containsText" dxfId="108" priority="40" operator="containsText" text="NUC">
      <formula>NOT(ISERROR(SEARCH("NUC",D3)))</formula>
    </cfRule>
  </conditionalFormatting>
  <conditionalFormatting sqref="D7:D245 D3:D5 E36 D247:D1048576">
    <cfRule type="cellIs" dxfId="107" priority="43" operator="equal">
      <formula>"USUARIO"</formula>
    </cfRule>
  </conditionalFormatting>
  <conditionalFormatting sqref="D7:D245 D4:D5 E36 D247:D259">
    <cfRule type="cellIs" dxfId="106" priority="44" operator="equal">
      <formula>"SERVIDOR"</formula>
    </cfRule>
  </conditionalFormatting>
  <conditionalFormatting sqref="D67">
    <cfRule type="containsText" dxfId="105" priority="41" operator="containsText" text="libre">
      <formula>NOT(ISERROR(SEARCH("libre",D67)))</formula>
    </cfRule>
  </conditionalFormatting>
  <conditionalFormatting sqref="D6:E6">
    <cfRule type="containsText" dxfId="104" priority="42" operator="containsText" text="libre">
      <formula>NOT(ISERROR(SEARCH("libre",D6)))</formula>
    </cfRule>
  </conditionalFormatting>
  <conditionalFormatting sqref="E196">
    <cfRule type="containsText" dxfId="103" priority="16" operator="containsText" text="libre">
      <formula>NOT(ISERROR(SEARCH("libre",E196)))</formula>
    </cfRule>
  </conditionalFormatting>
  <conditionalFormatting sqref="E199">
    <cfRule type="containsText" dxfId="102" priority="15" operator="containsText" text="libre">
      <formula>NOT(ISERROR(SEARCH("libre",E199)))</formula>
    </cfRule>
  </conditionalFormatting>
  <conditionalFormatting sqref="E201">
    <cfRule type="containsText" dxfId="101" priority="14" operator="containsText" text="libre">
      <formula>NOT(ISERROR(SEARCH("libre",E201)))</formula>
    </cfRule>
  </conditionalFormatting>
  <conditionalFormatting sqref="E206">
    <cfRule type="containsText" dxfId="100" priority="17" operator="containsText" text="libre">
      <formula>NOT(ISERROR(SEARCH("libre",E206)))</formula>
    </cfRule>
  </conditionalFormatting>
  <conditionalFormatting sqref="E208">
    <cfRule type="containsText" dxfId="99" priority="13" operator="containsText" text="libre">
      <formula>NOT(ISERROR(SEARCH("libre",E208)))</formula>
    </cfRule>
  </conditionalFormatting>
  <conditionalFormatting sqref="E236">
    <cfRule type="containsText" dxfId="98" priority="12" operator="containsText" text="libre">
      <formula>NOT(ISERROR(SEARCH("libre",E236)))</formula>
    </cfRule>
  </conditionalFormatting>
  <conditionalFormatting sqref="E249">
    <cfRule type="containsText" dxfId="97" priority="3" operator="containsText" text="BOTONERA">
      <formula>NOT(ISERROR(SEARCH("BOTONERA",E249)))</formula>
    </cfRule>
    <cfRule type="containsText" dxfId="96" priority="4" operator="containsText" text="RELOJ TALANA">
      <formula>NOT(ISERROR(SEARCH("RELOJ TALANA",E249)))</formula>
    </cfRule>
    <cfRule type="containsText" dxfId="95" priority="5" operator="containsText" text="IMPRESORA">
      <formula>NOT(ISERROR(SEARCH("IMPRESORA",E249)))</formula>
    </cfRule>
    <cfRule type="containsText" dxfId="94" priority="6" operator="containsText" text="NUC">
      <formula>NOT(ISERROR(SEARCH("NUC",E249)))</formula>
    </cfRule>
    <cfRule type="cellIs" dxfId="93" priority="7" operator="equal">
      <formula>"USUARIO"</formula>
    </cfRule>
    <cfRule type="cellIs" dxfId="92" priority="8" operator="equal">
      <formula>"SERVIDOR"</formula>
    </cfRule>
    <cfRule type="containsText" dxfId="91" priority="1" operator="containsText" text="SENSOR ">
      <formula>NOT(ISERROR(SEARCH("SENSOR ",E249)))</formula>
    </cfRule>
    <cfRule type="containsText" dxfId="90" priority="2" operator="containsText" text="TELEFONO">
      <formula>NOT(ISERROR(SEARCH("TELEFONO",E249)))</formula>
    </cfRule>
  </conditionalFormatting>
  <conditionalFormatting sqref="G6 G9:G12">
    <cfRule type="containsText" dxfId="89" priority="31" operator="containsText" text="IMPRESORA">
      <formula>NOT(ISERROR(SEARCH("IMPRESORA",G6)))</formula>
    </cfRule>
    <cfRule type="containsText" dxfId="88" priority="32" operator="containsText" text="NUC">
      <formula>NOT(ISERROR(SEARCH("NUC",G6)))</formula>
    </cfRule>
    <cfRule type="cellIs" dxfId="87" priority="33" operator="equal">
      <formula>"USUARIO"</formula>
    </cfRule>
    <cfRule type="cellIs" dxfId="86" priority="34" operator="equal">
      <formula>"SERVIDOR"</formula>
    </cfRule>
    <cfRule type="containsText" dxfId="85" priority="29" operator="containsText" text="CONTROL ACCESO">
      <formula>NOT(ISERROR(SEARCH("CONTROL ACCESO",G6)))</formula>
    </cfRule>
    <cfRule type="containsText" dxfId="84" priority="30" operator="containsText" text="RELOJ TALANA">
      <formula>NOT(ISERROR(SEARCH("RELOJ TALANA",G6)))</formula>
    </cfRule>
    <cfRule type="containsText" dxfId="83" priority="27" operator="containsText" text="SENSOR ">
      <formula>NOT(ISERROR(SEARCH("SENSOR ",G6)))</formula>
    </cfRule>
  </conditionalFormatting>
  <conditionalFormatting sqref="G13:G14">
    <cfRule type="containsText" dxfId="82" priority="18" operator="containsText" text="libre">
      <formula>NOT(ISERROR(SEARCH("libre",G13)))</formula>
    </cfRule>
  </conditionalFormatting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030A-F754-4BFA-B13F-F3DC830B6D19}">
  <dimension ref="B1:I257"/>
  <sheetViews>
    <sheetView topLeftCell="A220" workbookViewId="0">
      <selection activeCell="F235" sqref="F235"/>
    </sheetView>
  </sheetViews>
  <sheetFormatPr baseColWidth="10" defaultColWidth="11.44140625" defaultRowHeight="14.4" x14ac:dyDescent="0.3"/>
  <cols>
    <col min="2" max="2" width="17.44140625" customWidth="1"/>
    <col min="3" max="3" width="37.5546875" customWidth="1"/>
    <col min="4" max="4" width="16.5546875" style="23" customWidth="1"/>
    <col min="5" max="5" width="23.5546875" customWidth="1"/>
    <col min="6" max="6" width="32.5546875" customWidth="1"/>
    <col min="7" max="7" width="20.6640625" bestFit="1" customWidth="1"/>
    <col min="8" max="8" width="9.5546875" bestFit="1" customWidth="1"/>
    <col min="9" max="9" width="11.5546875" bestFit="1" customWidth="1"/>
  </cols>
  <sheetData>
    <row r="1" spans="2:9" ht="15" thickBot="1" x14ac:dyDescent="0.35"/>
    <row r="2" spans="2:9" ht="15" thickBot="1" x14ac:dyDescent="0.35">
      <c r="B2" s="70" t="s">
        <v>1</v>
      </c>
      <c r="C2" s="83" t="s">
        <v>2</v>
      </c>
      <c r="D2" s="71" t="s">
        <v>452</v>
      </c>
      <c r="E2" s="71" t="s">
        <v>4</v>
      </c>
      <c r="H2" s="6" t="s">
        <v>5</v>
      </c>
      <c r="I2" s="7" t="s">
        <v>6</v>
      </c>
    </row>
    <row r="3" spans="2:9" ht="15" thickBot="1" x14ac:dyDescent="0.35">
      <c r="B3" s="73" t="s">
        <v>729</v>
      </c>
      <c r="C3" s="84"/>
      <c r="D3" s="69"/>
      <c r="E3" s="72"/>
      <c r="G3" s="9" t="s">
        <v>11</v>
      </c>
      <c r="H3" s="10">
        <v>255</v>
      </c>
      <c r="I3" s="11">
        <v>1</v>
      </c>
    </row>
    <row r="4" spans="2:9" ht="15" thickBot="1" x14ac:dyDescent="0.35">
      <c r="B4" s="73" t="s">
        <v>730</v>
      </c>
      <c r="C4" s="2"/>
      <c r="D4" s="66"/>
      <c r="E4" s="74"/>
      <c r="G4" s="5" t="s">
        <v>1540</v>
      </c>
      <c r="H4" s="8">
        <f>COUNTIF(D:D,"BOTONERA")</f>
        <v>0</v>
      </c>
      <c r="I4" s="12">
        <f>H4/$H$3</f>
        <v>0</v>
      </c>
    </row>
    <row r="5" spans="2:9" ht="15" thickBot="1" x14ac:dyDescent="0.35">
      <c r="B5" s="73" t="s">
        <v>731</v>
      </c>
      <c r="C5" s="2"/>
      <c r="D5" s="25"/>
      <c r="E5" s="74"/>
      <c r="G5" s="13" t="s">
        <v>18</v>
      </c>
      <c r="H5" s="8">
        <f>COUNTIF(D:D,"cctv")</f>
        <v>0</v>
      </c>
      <c r="I5" s="12">
        <f t="shared" ref="I5:I12" si="0">H5/$H$3</f>
        <v>0</v>
      </c>
    </row>
    <row r="6" spans="2:9" ht="15" thickBot="1" x14ac:dyDescent="0.35">
      <c r="B6" s="73" t="s">
        <v>732</v>
      </c>
      <c r="C6" s="2"/>
      <c r="D6" s="25"/>
      <c r="E6" s="74"/>
      <c r="G6" s="13" t="s">
        <v>20</v>
      </c>
      <c r="H6" s="8">
        <v>1</v>
      </c>
      <c r="I6" s="12">
        <f t="shared" si="0"/>
        <v>3.9215686274509803E-3</v>
      </c>
    </row>
    <row r="7" spans="2:9" ht="15" thickBot="1" x14ac:dyDescent="0.35">
      <c r="B7" s="73" t="s">
        <v>733</v>
      </c>
      <c r="C7" s="2"/>
      <c r="D7" s="25"/>
      <c r="E7" s="74"/>
      <c r="G7" s="5" t="s">
        <v>22</v>
      </c>
      <c r="H7" s="8">
        <f>COUNTIF(D:D,"IMPRESORA")</f>
        <v>11</v>
      </c>
      <c r="I7" s="12">
        <f t="shared" si="0"/>
        <v>4.3137254901960784E-2</v>
      </c>
    </row>
    <row r="8" spans="2:9" ht="15" thickBot="1" x14ac:dyDescent="0.35">
      <c r="B8" s="73" t="s">
        <v>734</v>
      </c>
      <c r="C8" s="2"/>
      <c r="D8" s="66"/>
      <c r="E8" s="74"/>
      <c r="G8" s="5" t="s">
        <v>28</v>
      </c>
      <c r="H8" s="8">
        <f>COUNTIF(D:D,"RELOJ TALANA")</f>
        <v>0</v>
      </c>
      <c r="I8" s="12">
        <f t="shared" si="0"/>
        <v>0</v>
      </c>
    </row>
    <row r="9" spans="2:9" ht="15" thickBot="1" x14ac:dyDescent="0.35">
      <c r="B9" s="73" t="s">
        <v>735</v>
      </c>
      <c r="C9" s="2"/>
      <c r="D9" s="25"/>
      <c r="E9" s="74"/>
      <c r="G9" s="5" t="s">
        <v>17</v>
      </c>
      <c r="H9" s="8">
        <f>COUNTIF(D:D,"SERVIDOR")</f>
        <v>0</v>
      </c>
      <c r="I9" s="12">
        <f t="shared" si="0"/>
        <v>0</v>
      </c>
    </row>
    <row r="10" spans="2:9" ht="15" thickBot="1" x14ac:dyDescent="0.35">
      <c r="B10" s="73" t="s">
        <v>736</v>
      </c>
      <c r="C10" s="2"/>
      <c r="D10" s="25"/>
      <c r="E10" s="74"/>
      <c r="G10" s="14" t="s">
        <v>34</v>
      </c>
      <c r="H10" s="8">
        <f>COUNTIF(D:D,"USUARIO")</f>
        <v>0</v>
      </c>
      <c r="I10" s="12">
        <f t="shared" si="0"/>
        <v>0</v>
      </c>
    </row>
    <row r="11" spans="2:9" ht="15" thickBot="1" x14ac:dyDescent="0.35">
      <c r="B11" s="73" t="s">
        <v>737</v>
      </c>
      <c r="C11" s="2"/>
      <c r="D11" s="25"/>
      <c r="E11" s="74"/>
      <c r="G11" s="5" t="s">
        <v>36</v>
      </c>
      <c r="H11" s="8">
        <f>COUNTIF(C:C,"libre")</f>
        <v>0</v>
      </c>
      <c r="I11" s="12">
        <f t="shared" si="0"/>
        <v>0</v>
      </c>
    </row>
    <row r="12" spans="2:9" ht="15" thickBot="1" x14ac:dyDescent="0.35">
      <c r="B12" s="73" t="s">
        <v>738</v>
      </c>
      <c r="C12" s="2"/>
      <c r="D12" s="25"/>
      <c r="E12" s="74"/>
      <c r="G12" s="15" t="s">
        <v>13</v>
      </c>
      <c r="H12" s="16">
        <f>COUNTIF(C:C,"¿?")</f>
        <v>0</v>
      </c>
      <c r="I12" s="12">
        <f t="shared" si="0"/>
        <v>0</v>
      </c>
    </row>
    <row r="13" spans="2:9" ht="15" thickBot="1" x14ac:dyDescent="0.35">
      <c r="B13" s="73" t="s">
        <v>739</v>
      </c>
      <c r="C13" s="2"/>
      <c r="D13" s="25"/>
      <c r="E13" s="74"/>
    </row>
    <row r="14" spans="2:9" ht="15" thickBot="1" x14ac:dyDescent="0.35">
      <c r="B14" s="73" t="s">
        <v>740</v>
      </c>
      <c r="C14" s="2"/>
      <c r="D14" s="25"/>
      <c r="E14" s="74"/>
    </row>
    <row r="15" spans="2:9" ht="15" thickBot="1" x14ac:dyDescent="0.35">
      <c r="B15" s="73" t="s">
        <v>741</v>
      </c>
      <c r="C15" s="2"/>
      <c r="D15" s="25"/>
      <c r="E15" s="74"/>
    </row>
    <row r="16" spans="2:9" ht="15" thickBot="1" x14ac:dyDescent="0.35">
      <c r="B16" s="73" t="s">
        <v>742</v>
      </c>
      <c r="C16" s="4" t="s">
        <v>743</v>
      </c>
      <c r="D16" s="25"/>
      <c r="E16" s="74"/>
    </row>
    <row r="17" spans="2:5" ht="15" thickBot="1" x14ac:dyDescent="0.35">
      <c r="B17" s="73" t="s">
        <v>744</v>
      </c>
      <c r="C17" s="2"/>
      <c r="D17" s="25"/>
      <c r="E17" s="74"/>
    </row>
    <row r="18" spans="2:5" ht="15" thickBot="1" x14ac:dyDescent="0.35">
      <c r="B18" s="73" t="s">
        <v>745</v>
      </c>
      <c r="C18" s="2"/>
      <c r="D18" s="25"/>
      <c r="E18" s="74"/>
    </row>
    <row r="19" spans="2:5" ht="15" thickBot="1" x14ac:dyDescent="0.35">
      <c r="B19" s="73" t="s">
        <v>746</v>
      </c>
      <c r="C19" s="2"/>
      <c r="D19" s="25"/>
      <c r="E19" s="74"/>
    </row>
    <row r="20" spans="2:5" ht="15" thickBot="1" x14ac:dyDescent="0.35">
      <c r="B20" s="73" t="s">
        <v>747</v>
      </c>
      <c r="C20" s="2"/>
      <c r="D20" s="25"/>
      <c r="E20" s="74"/>
    </row>
    <row r="21" spans="2:5" ht="15" thickBot="1" x14ac:dyDescent="0.35">
      <c r="B21" s="73" t="s">
        <v>748</v>
      </c>
      <c r="C21" s="2"/>
      <c r="D21" s="25"/>
      <c r="E21" s="74"/>
    </row>
    <row r="22" spans="2:5" ht="15" thickBot="1" x14ac:dyDescent="0.35">
      <c r="B22" s="73" t="s">
        <v>749</v>
      </c>
      <c r="C22" s="2"/>
      <c r="D22" s="25"/>
      <c r="E22" s="74"/>
    </row>
    <row r="23" spans="2:5" ht="15" thickBot="1" x14ac:dyDescent="0.35">
      <c r="B23" s="73" t="s">
        <v>750</v>
      </c>
      <c r="C23" s="2"/>
      <c r="D23" s="25"/>
      <c r="E23" s="74"/>
    </row>
    <row r="24" spans="2:5" ht="15" thickBot="1" x14ac:dyDescent="0.35">
      <c r="B24" s="73" t="s">
        <v>751</v>
      </c>
      <c r="C24" s="2"/>
      <c r="D24" s="25"/>
      <c r="E24" s="74"/>
    </row>
    <row r="25" spans="2:5" ht="15" thickBot="1" x14ac:dyDescent="0.35">
      <c r="B25" s="73" t="s">
        <v>752</v>
      </c>
      <c r="C25" s="2"/>
      <c r="D25" s="25"/>
      <c r="E25" s="74"/>
    </row>
    <row r="26" spans="2:5" ht="15" thickBot="1" x14ac:dyDescent="0.35">
      <c r="B26" s="73" t="s">
        <v>753</v>
      </c>
      <c r="C26" s="2"/>
      <c r="D26" s="25"/>
      <c r="E26" s="74"/>
    </row>
    <row r="27" spans="2:5" ht="15" thickBot="1" x14ac:dyDescent="0.35">
      <c r="B27" s="73" t="s">
        <v>754</v>
      </c>
      <c r="C27" s="2"/>
      <c r="D27" s="25"/>
      <c r="E27" s="74"/>
    </row>
    <row r="28" spans="2:5" ht="15" thickBot="1" x14ac:dyDescent="0.35">
      <c r="B28" s="73" t="s">
        <v>755</v>
      </c>
      <c r="C28" s="2"/>
      <c r="D28" s="25"/>
      <c r="E28" s="74"/>
    </row>
    <row r="29" spans="2:5" ht="15" thickBot="1" x14ac:dyDescent="0.35">
      <c r="B29" s="73" t="s">
        <v>756</v>
      </c>
      <c r="C29" s="2"/>
      <c r="D29" s="25"/>
      <c r="E29" s="74"/>
    </row>
    <row r="30" spans="2:5" ht="15" thickBot="1" x14ac:dyDescent="0.35">
      <c r="B30" s="73" t="s">
        <v>757</v>
      </c>
      <c r="C30" s="36"/>
      <c r="D30" s="25"/>
      <c r="E30" s="74"/>
    </row>
    <row r="31" spans="2:5" ht="15" thickBot="1" x14ac:dyDescent="0.35">
      <c r="B31" s="73" t="s">
        <v>758</v>
      </c>
      <c r="C31" s="2"/>
      <c r="D31" s="25"/>
      <c r="E31" s="74"/>
    </row>
    <row r="32" spans="2:5" ht="15" thickBot="1" x14ac:dyDescent="0.35">
      <c r="B32" s="73" t="s">
        <v>759</v>
      </c>
      <c r="C32" s="2"/>
      <c r="D32" s="25"/>
      <c r="E32" s="75"/>
    </row>
    <row r="33" spans="2:5" ht="15" thickBot="1" x14ac:dyDescent="0.35">
      <c r="B33" s="73" t="s">
        <v>760</v>
      </c>
      <c r="C33" s="2"/>
      <c r="D33" s="25"/>
      <c r="E33" s="74"/>
    </row>
    <row r="34" spans="2:5" ht="15" thickBot="1" x14ac:dyDescent="0.35">
      <c r="B34" s="73" t="s">
        <v>761</v>
      </c>
      <c r="C34" s="2"/>
      <c r="D34" s="25"/>
      <c r="E34" s="74"/>
    </row>
    <row r="35" spans="2:5" ht="15" thickBot="1" x14ac:dyDescent="0.35">
      <c r="B35" s="73" t="s">
        <v>762</v>
      </c>
      <c r="C35" s="2"/>
      <c r="D35" s="25"/>
      <c r="E35" s="74"/>
    </row>
    <row r="36" spans="2:5" ht="15" thickBot="1" x14ac:dyDescent="0.35">
      <c r="B36" s="73" t="s">
        <v>763</v>
      </c>
      <c r="C36" s="2"/>
      <c r="D36" s="25"/>
      <c r="E36" s="74"/>
    </row>
    <row r="37" spans="2:5" ht="15" thickBot="1" x14ac:dyDescent="0.35">
      <c r="B37" s="73" t="s">
        <v>764</v>
      </c>
      <c r="C37" s="2"/>
      <c r="D37" s="25"/>
      <c r="E37" s="74"/>
    </row>
    <row r="38" spans="2:5" ht="15" thickBot="1" x14ac:dyDescent="0.35">
      <c r="B38" s="73" t="s">
        <v>765</v>
      </c>
      <c r="C38" s="2"/>
      <c r="D38" s="25"/>
      <c r="E38" s="74"/>
    </row>
    <row r="39" spans="2:5" ht="15" thickBot="1" x14ac:dyDescent="0.35">
      <c r="B39" s="73" t="s">
        <v>766</v>
      </c>
      <c r="C39" s="38"/>
      <c r="D39" s="25"/>
      <c r="E39" s="74"/>
    </row>
    <row r="40" spans="2:5" ht="15" thickBot="1" x14ac:dyDescent="0.35">
      <c r="B40" s="73" t="s">
        <v>767</v>
      </c>
      <c r="C40" s="2"/>
      <c r="D40" s="25"/>
      <c r="E40" s="74"/>
    </row>
    <row r="41" spans="2:5" ht="15" thickBot="1" x14ac:dyDescent="0.35">
      <c r="B41" s="73" t="s">
        <v>768</v>
      </c>
      <c r="C41" s="2"/>
      <c r="D41" s="25"/>
      <c r="E41" s="74"/>
    </row>
    <row r="42" spans="2:5" ht="15" thickBot="1" x14ac:dyDescent="0.35">
      <c r="B42" s="73" t="s">
        <v>769</v>
      </c>
      <c r="C42" s="2"/>
      <c r="D42" s="25"/>
      <c r="E42" s="74"/>
    </row>
    <row r="43" spans="2:5" ht="15" thickBot="1" x14ac:dyDescent="0.35">
      <c r="B43" s="73" t="s">
        <v>770</v>
      </c>
      <c r="C43" s="2"/>
      <c r="D43" s="25"/>
      <c r="E43" s="74"/>
    </row>
    <row r="44" spans="2:5" ht="15" thickBot="1" x14ac:dyDescent="0.35">
      <c r="B44" s="73" t="s">
        <v>771</v>
      </c>
      <c r="C44" s="2"/>
      <c r="D44" s="25"/>
      <c r="E44" s="74"/>
    </row>
    <row r="45" spans="2:5" ht="15" thickBot="1" x14ac:dyDescent="0.35">
      <c r="B45" s="73" t="s">
        <v>772</v>
      </c>
      <c r="C45" s="2"/>
      <c r="D45" s="25"/>
      <c r="E45" s="74"/>
    </row>
    <row r="46" spans="2:5" ht="15" thickBot="1" x14ac:dyDescent="0.35">
      <c r="B46" s="73" t="s">
        <v>773</v>
      </c>
      <c r="C46" s="2"/>
      <c r="D46" s="25"/>
      <c r="E46" s="74"/>
    </row>
    <row r="47" spans="2:5" ht="15" thickBot="1" x14ac:dyDescent="0.35">
      <c r="B47" s="73" t="s">
        <v>774</v>
      </c>
      <c r="C47" s="2"/>
      <c r="D47" s="25"/>
      <c r="E47" s="74"/>
    </row>
    <row r="48" spans="2:5" ht="15" thickBot="1" x14ac:dyDescent="0.35">
      <c r="B48" s="73" t="s">
        <v>775</v>
      </c>
      <c r="C48" s="2"/>
      <c r="D48" s="25"/>
      <c r="E48" s="74"/>
    </row>
    <row r="49" spans="2:5" ht="15" thickBot="1" x14ac:dyDescent="0.35">
      <c r="B49" s="73" t="s">
        <v>776</v>
      </c>
      <c r="C49" s="2"/>
      <c r="D49" s="25"/>
      <c r="E49" s="74"/>
    </row>
    <row r="50" spans="2:5" ht="15" thickBot="1" x14ac:dyDescent="0.35">
      <c r="B50" s="73" t="s">
        <v>777</v>
      </c>
      <c r="C50" s="2"/>
      <c r="D50" s="25"/>
      <c r="E50" s="74"/>
    </row>
    <row r="51" spans="2:5" ht="15" thickBot="1" x14ac:dyDescent="0.35">
      <c r="B51" s="73" t="s">
        <v>778</v>
      </c>
      <c r="C51" s="2"/>
      <c r="D51" s="25"/>
      <c r="E51" s="74"/>
    </row>
    <row r="52" spans="2:5" ht="15" thickBot="1" x14ac:dyDescent="0.35">
      <c r="B52" s="73" t="s">
        <v>779</v>
      </c>
      <c r="C52" s="2"/>
      <c r="D52" s="25"/>
      <c r="E52" s="74"/>
    </row>
    <row r="53" spans="2:5" ht="15" thickBot="1" x14ac:dyDescent="0.35">
      <c r="B53" s="73" t="s">
        <v>780</v>
      </c>
      <c r="C53" s="2"/>
      <c r="D53" s="25"/>
      <c r="E53" s="74"/>
    </row>
    <row r="54" spans="2:5" ht="15" thickBot="1" x14ac:dyDescent="0.35">
      <c r="B54" s="73" t="s">
        <v>781</v>
      </c>
      <c r="C54" s="21"/>
      <c r="D54" s="25"/>
      <c r="E54" s="74"/>
    </row>
    <row r="55" spans="2:5" ht="15" thickBot="1" x14ac:dyDescent="0.35">
      <c r="B55" s="73" t="s">
        <v>782</v>
      </c>
      <c r="C55" s="2"/>
      <c r="D55" s="25"/>
      <c r="E55" s="74"/>
    </row>
    <row r="56" spans="2:5" ht="15" thickBot="1" x14ac:dyDescent="0.35">
      <c r="B56" s="73" t="s">
        <v>783</v>
      </c>
      <c r="C56" s="2"/>
      <c r="D56" s="25"/>
      <c r="E56" s="74"/>
    </row>
    <row r="57" spans="2:5" ht="15" thickBot="1" x14ac:dyDescent="0.35">
      <c r="B57" s="73" t="s">
        <v>784</v>
      </c>
      <c r="C57" s="2"/>
      <c r="D57" s="25"/>
      <c r="E57" s="74"/>
    </row>
    <row r="58" spans="2:5" ht="15" thickBot="1" x14ac:dyDescent="0.35">
      <c r="B58" s="73" t="s">
        <v>785</v>
      </c>
      <c r="C58" s="2"/>
      <c r="D58" s="25"/>
      <c r="E58" s="74"/>
    </row>
    <row r="59" spans="2:5" ht="15" thickBot="1" x14ac:dyDescent="0.35">
      <c r="B59" s="73" t="s">
        <v>786</v>
      </c>
      <c r="C59" s="2"/>
      <c r="D59" s="25"/>
      <c r="E59" s="74"/>
    </row>
    <row r="60" spans="2:5" ht="15" thickBot="1" x14ac:dyDescent="0.35">
      <c r="B60" s="73" t="s">
        <v>787</v>
      </c>
      <c r="C60" s="2"/>
      <c r="D60" s="25"/>
      <c r="E60" s="74"/>
    </row>
    <row r="61" spans="2:5" ht="15" thickBot="1" x14ac:dyDescent="0.35">
      <c r="B61" s="73" t="s">
        <v>788</v>
      </c>
      <c r="C61" s="2"/>
      <c r="D61" s="25"/>
      <c r="E61" s="74"/>
    </row>
    <row r="62" spans="2:5" ht="15" thickBot="1" x14ac:dyDescent="0.35">
      <c r="B62" s="73" t="s">
        <v>789</v>
      </c>
      <c r="C62" s="2"/>
      <c r="D62" s="25"/>
      <c r="E62" s="74"/>
    </row>
    <row r="63" spans="2:5" ht="15" thickBot="1" x14ac:dyDescent="0.35">
      <c r="B63" s="73" t="s">
        <v>790</v>
      </c>
      <c r="C63" s="2"/>
      <c r="D63" s="25"/>
      <c r="E63" s="74"/>
    </row>
    <row r="64" spans="2:5" ht="15" thickBot="1" x14ac:dyDescent="0.35">
      <c r="B64" s="73" t="s">
        <v>791</v>
      </c>
      <c r="C64" s="2"/>
      <c r="D64" s="25"/>
      <c r="E64" s="74"/>
    </row>
    <row r="65" spans="2:5" ht="15" thickBot="1" x14ac:dyDescent="0.35">
      <c r="B65" s="73" t="s">
        <v>792</v>
      </c>
      <c r="C65" s="2"/>
      <c r="D65" s="25"/>
      <c r="E65" s="74"/>
    </row>
    <row r="66" spans="2:5" ht="15" thickBot="1" x14ac:dyDescent="0.35">
      <c r="B66" s="73" t="s">
        <v>793</v>
      </c>
      <c r="C66" s="2"/>
      <c r="D66" s="25"/>
      <c r="E66" s="74"/>
    </row>
    <row r="67" spans="2:5" ht="15" thickBot="1" x14ac:dyDescent="0.35">
      <c r="B67" s="73" t="s">
        <v>794</v>
      </c>
      <c r="C67" s="2"/>
      <c r="D67" s="25"/>
      <c r="E67" s="74"/>
    </row>
    <row r="68" spans="2:5" ht="15" thickBot="1" x14ac:dyDescent="0.35">
      <c r="B68" s="73" t="s">
        <v>795</v>
      </c>
      <c r="C68" s="2"/>
      <c r="D68" s="25"/>
      <c r="E68" s="74"/>
    </row>
    <row r="69" spans="2:5" ht="15" thickBot="1" x14ac:dyDescent="0.35">
      <c r="B69" s="73" t="s">
        <v>796</v>
      </c>
      <c r="C69" s="2"/>
      <c r="D69" s="25"/>
      <c r="E69" s="74"/>
    </row>
    <row r="70" spans="2:5" ht="15" thickBot="1" x14ac:dyDescent="0.35">
      <c r="B70" s="73" t="s">
        <v>797</v>
      </c>
      <c r="C70" s="2"/>
      <c r="D70" s="25"/>
      <c r="E70" s="74"/>
    </row>
    <row r="71" spans="2:5" ht="15" thickBot="1" x14ac:dyDescent="0.35">
      <c r="B71" s="73" t="s">
        <v>798</v>
      </c>
      <c r="C71" s="4"/>
      <c r="D71" s="25"/>
      <c r="E71" s="74"/>
    </row>
    <row r="72" spans="2:5" ht="15" thickBot="1" x14ac:dyDescent="0.35">
      <c r="B72" s="73" t="s">
        <v>799</v>
      </c>
      <c r="C72" s="2"/>
      <c r="D72" s="25"/>
      <c r="E72" s="74"/>
    </row>
    <row r="73" spans="2:5" ht="15" thickBot="1" x14ac:dyDescent="0.35">
      <c r="B73" s="73" t="s">
        <v>800</v>
      </c>
      <c r="C73" s="2"/>
      <c r="D73" s="25"/>
      <c r="E73" s="74"/>
    </row>
    <row r="74" spans="2:5" ht="15" thickBot="1" x14ac:dyDescent="0.35">
      <c r="B74" s="73" t="s">
        <v>801</v>
      </c>
      <c r="C74" s="2"/>
      <c r="D74" s="25"/>
      <c r="E74" s="74"/>
    </row>
    <row r="75" spans="2:5" ht="15" thickBot="1" x14ac:dyDescent="0.35">
      <c r="B75" s="73" t="s">
        <v>802</v>
      </c>
      <c r="C75" s="2"/>
      <c r="D75" s="25"/>
      <c r="E75" s="74"/>
    </row>
    <row r="76" spans="2:5" ht="15" thickBot="1" x14ac:dyDescent="0.35">
      <c r="B76" s="73" t="s">
        <v>803</v>
      </c>
      <c r="C76" s="2"/>
      <c r="D76" s="25"/>
      <c r="E76" s="74"/>
    </row>
    <row r="77" spans="2:5" ht="15" thickBot="1" x14ac:dyDescent="0.35">
      <c r="B77" s="73" t="s">
        <v>804</v>
      </c>
      <c r="C77" s="2"/>
      <c r="D77" s="25"/>
      <c r="E77" s="74"/>
    </row>
    <row r="78" spans="2:5" ht="15" thickBot="1" x14ac:dyDescent="0.35">
      <c r="B78" s="73" t="s">
        <v>805</v>
      </c>
      <c r="C78" s="2"/>
      <c r="D78" s="25"/>
      <c r="E78" s="74"/>
    </row>
    <row r="79" spans="2:5" ht="15" thickBot="1" x14ac:dyDescent="0.35">
      <c r="B79" s="73" t="s">
        <v>806</v>
      </c>
      <c r="C79" s="2"/>
      <c r="D79" s="25"/>
      <c r="E79" s="74"/>
    </row>
    <row r="80" spans="2:5" ht="15" thickBot="1" x14ac:dyDescent="0.35">
      <c r="B80" s="73" t="s">
        <v>807</v>
      </c>
      <c r="C80" s="2"/>
      <c r="D80" s="25"/>
      <c r="E80" s="74"/>
    </row>
    <row r="81" spans="2:5" ht="15" thickBot="1" x14ac:dyDescent="0.35">
      <c r="B81" s="73" t="s">
        <v>808</v>
      </c>
      <c r="C81" s="2"/>
      <c r="D81" s="25"/>
      <c r="E81" s="74"/>
    </row>
    <row r="82" spans="2:5" ht="15" thickBot="1" x14ac:dyDescent="0.35">
      <c r="B82" s="73" t="s">
        <v>809</v>
      </c>
      <c r="C82" s="2"/>
      <c r="D82" s="25"/>
      <c r="E82" s="74"/>
    </row>
    <row r="83" spans="2:5" ht="15" thickBot="1" x14ac:dyDescent="0.35">
      <c r="B83" s="73" t="s">
        <v>810</v>
      </c>
      <c r="C83" s="2"/>
      <c r="D83" s="25"/>
      <c r="E83" s="74"/>
    </row>
    <row r="84" spans="2:5" ht="15" thickBot="1" x14ac:dyDescent="0.35">
      <c r="B84" s="73" t="s">
        <v>811</v>
      </c>
      <c r="C84" s="2"/>
      <c r="D84" s="25"/>
      <c r="E84" s="74"/>
    </row>
    <row r="85" spans="2:5" ht="15" thickBot="1" x14ac:dyDescent="0.35">
      <c r="B85" s="73" t="s">
        <v>812</v>
      </c>
      <c r="C85" s="2"/>
      <c r="D85" s="25"/>
      <c r="E85" s="74"/>
    </row>
    <row r="86" spans="2:5" ht="15" thickBot="1" x14ac:dyDescent="0.35">
      <c r="B86" s="73" t="s">
        <v>813</v>
      </c>
      <c r="C86" s="2"/>
      <c r="D86" s="25"/>
      <c r="E86" s="74"/>
    </row>
    <row r="87" spans="2:5" ht="15" thickBot="1" x14ac:dyDescent="0.35">
      <c r="B87" s="73" t="s">
        <v>814</v>
      </c>
      <c r="C87" s="2"/>
      <c r="D87" s="25"/>
      <c r="E87" s="74"/>
    </row>
    <row r="88" spans="2:5" ht="15" thickBot="1" x14ac:dyDescent="0.35">
      <c r="B88" s="73" t="s">
        <v>815</v>
      </c>
      <c r="C88" s="2"/>
      <c r="D88" s="25"/>
      <c r="E88" s="74"/>
    </row>
    <row r="89" spans="2:5" ht="15" thickBot="1" x14ac:dyDescent="0.35">
      <c r="B89" s="73" t="s">
        <v>816</v>
      </c>
      <c r="C89" s="2"/>
      <c r="D89" s="25"/>
      <c r="E89" s="74"/>
    </row>
    <row r="90" spans="2:5" ht="15" thickBot="1" x14ac:dyDescent="0.35">
      <c r="B90" s="73" t="s">
        <v>817</v>
      </c>
      <c r="C90" s="2"/>
      <c r="D90" s="25"/>
      <c r="E90" s="74"/>
    </row>
    <row r="91" spans="2:5" ht="15" thickBot="1" x14ac:dyDescent="0.35">
      <c r="B91" s="73" t="s">
        <v>818</v>
      </c>
      <c r="C91" s="2"/>
      <c r="D91" s="25"/>
      <c r="E91" s="74"/>
    </row>
    <row r="92" spans="2:5" ht="15" thickBot="1" x14ac:dyDescent="0.35">
      <c r="B92" s="73" t="s">
        <v>819</v>
      </c>
      <c r="C92" s="2"/>
      <c r="D92" s="25"/>
      <c r="E92" s="74"/>
    </row>
    <row r="93" spans="2:5" ht="15" thickBot="1" x14ac:dyDescent="0.35">
      <c r="B93" s="73" t="s">
        <v>820</v>
      </c>
      <c r="C93" s="2"/>
      <c r="D93" s="25"/>
      <c r="E93" s="74"/>
    </row>
    <row r="94" spans="2:5" ht="15" thickBot="1" x14ac:dyDescent="0.35">
      <c r="B94" s="73" t="s">
        <v>821</v>
      </c>
      <c r="C94" s="2"/>
      <c r="D94" s="25"/>
      <c r="E94" s="74"/>
    </row>
    <row r="95" spans="2:5" ht="15" thickBot="1" x14ac:dyDescent="0.35">
      <c r="B95" s="73" t="s">
        <v>822</v>
      </c>
      <c r="C95" s="2"/>
      <c r="D95" s="25"/>
      <c r="E95" s="74"/>
    </row>
    <row r="96" spans="2:5" ht="15" thickBot="1" x14ac:dyDescent="0.35">
      <c r="B96" s="73" t="s">
        <v>823</v>
      </c>
      <c r="C96" s="2"/>
      <c r="D96" s="25"/>
      <c r="E96" s="74"/>
    </row>
    <row r="97" spans="2:5" ht="15" thickBot="1" x14ac:dyDescent="0.35">
      <c r="B97" s="73" t="s">
        <v>824</v>
      </c>
      <c r="C97" s="2"/>
      <c r="D97" s="25"/>
      <c r="E97" s="74"/>
    </row>
    <row r="98" spans="2:5" ht="15" thickBot="1" x14ac:dyDescent="0.35">
      <c r="B98" s="73" t="s">
        <v>825</v>
      </c>
      <c r="C98" s="2"/>
      <c r="D98" s="25"/>
      <c r="E98" s="74"/>
    </row>
    <row r="99" spans="2:5" ht="15" thickBot="1" x14ac:dyDescent="0.35">
      <c r="B99" s="73" t="s">
        <v>826</v>
      </c>
      <c r="C99" s="2"/>
      <c r="D99" s="25"/>
      <c r="E99" s="74"/>
    </row>
    <row r="100" spans="2:5" ht="15" thickBot="1" x14ac:dyDescent="0.35">
      <c r="B100" s="73" t="s">
        <v>827</v>
      </c>
      <c r="C100" s="2"/>
      <c r="D100" s="25"/>
      <c r="E100" s="74"/>
    </row>
    <row r="101" spans="2:5" ht="15" thickBot="1" x14ac:dyDescent="0.35">
      <c r="B101" s="73" t="s">
        <v>828</v>
      </c>
      <c r="C101" s="2"/>
      <c r="D101" s="25"/>
      <c r="E101" s="74"/>
    </row>
    <row r="102" spans="2:5" ht="15" thickBot="1" x14ac:dyDescent="0.35">
      <c r="B102" s="73" t="s">
        <v>829</v>
      </c>
      <c r="C102" s="2"/>
      <c r="D102" s="25"/>
      <c r="E102" s="74"/>
    </row>
    <row r="103" spans="2:5" ht="15" thickBot="1" x14ac:dyDescent="0.35">
      <c r="B103" s="73" t="s">
        <v>830</v>
      </c>
      <c r="C103" s="2"/>
      <c r="D103" s="25"/>
      <c r="E103" s="74"/>
    </row>
    <row r="104" spans="2:5" ht="15" thickBot="1" x14ac:dyDescent="0.35">
      <c r="B104" s="73" t="s">
        <v>831</v>
      </c>
      <c r="C104" s="2"/>
      <c r="D104" s="25"/>
      <c r="E104" s="75"/>
    </row>
    <row r="105" spans="2:5" ht="15" thickBot="1" x14ac:dyDescent="0.35">
      <c r="B105" s="73" t="s">
        <v>832</v>
      </c>
      <c r="C105" s="2"/>
      <c r="D105" s="25"/>
      <c r="E105" s="74"/>
    </row>
    <row r="106" spans="2:5" ht="15" thickBot="1" x14ac:dyDescent="0.35">
      <c r="B106" s="73" t="s">
        <v>833</v>
      </c>
      <c r="C106" s="2"/>
      <c r="D106" s="25"/>
      <c r="E106" s="74"/>
    </row>
    <row r="107" spans="2:5" ht="15" thickBot="1" x14ac:dyDescent="0.35">
      <c r="B107" s="73" t="s">
        <v>834</v>
      </c>
      <c r="C107" s="2"/>
      <c r="D107" s="25"/>
      <c r="E107" s="74"/>
    </row>
    <row r="108" spans="2:5" ht="15" thickBot="1" x14ac:dyDescent="0.35">
      <c r="B108" s="73" t="s">
        <v>835</v>
      </c>
      <c r="C108" s="2"/>
      <c r="D108" s="25"/>
      <c r="E108" s="74"/>
    </row>
    <row r="109" spans="2:5" ht="15" thickBot="1" x14ac:dyDescent="0.35">
      <c r="B109" s="73" t="s">
        <v>836</v>
      </c>
      <c r="C109" s="2"/>
      <c r="D109" s="25"/>
      <c r="E109" s="74"/>
    </row>
    <row r="110" spans="2:5" ht="15" thickBot="1" x14ac:dyDescent="0.35">
      <c r="B110" s="73" t="s">
        <v>837</v>
      </c>
      <c r="C110" s="2"/>
      <c r="D110" s="25"/>
      <c r="E110" s="74"/>
    </row>
    <row r="111" spans="2:5" ht="15" thickBot="1" x14ac:dyDescent="0.35">
      <c r="B111" s="73" t="s">
        <v>838</v>
      </c>
      <c r="C111" s="2"/>
      <c r="D111" s="25"/>
      <c r="E111" s="74"/>
    </row>
    <row r="112" spans="2:5" ht="15" thickBot="1" x14ac:dyDescent="0.35">
      <c r="B112" s="73" t="s">
        <v>839</v>
      </c>
      <c r="C112" s="2"/>
      <c r="D112" s="25"/>
      <c r="E112" s="74"/>
    </row>
    <row r="113" spans="2:5" ht="15" thickBot="1" x14ac:dyDescent="0.35">
      <c r="B113" s="73" t="s">
        <v>840</v>
      </c>
      <c r="C113" s="2"/>
      <c r="D113" s="25"/>
      <c r="E113" s="74"/>
    </row>
    <row r="114" spans="2:5" ht="15" thickBot="1" x14ac:dyDescent="0.35">
      <c r="B114" s="73" t="s">
        <v>841</v>
      </c>
      <c r="C114" s="2"/>
      <c r="D114" s="25"/>
      <c r="E114" s="74"/>
    </row>
    <row r="115" spans="2:5" ht="15" thickBot="1" x14ac:dyDescent="0.35">
      <c r="B115" s="73" t="s">
        <v>842</v>
      </c>
      <c r="C115" s="2"/>
      <c r="D115" s="25"/>
      <c r="E115" s="74"/>
    </row>
    <row r="116" spans="2:5" ht="15" thickBot="1" x14ac:dyDescent="0.35">
      <c r="B116" s="73" t="s">
        <v>843</v>
      </c>
      <c r="C116" s="2"/>
      <c r="D116" s="25"/>
      <c r="E116" s="74"/>
    </row>
    <row r="117" spans="2:5" ht="15" thickBot="1" x14ac:dyDescent="0.35">
      <c r="B117" s="73" t="s">
        <v>844</v>
      </c>
      <c r="C117" s="2"/>
      <c r="D117" s="25"/>
      <c r="E117" s="74"/>
    </row>
    <row r="118" spans="2:5" ht="15" thickBot="1" x14ac:dyDescent="0.35">
      <c r="B118" s="73" t="s">
        <v>845</v>
      </c>
      <c r="C118" s="2"/>
      <c r="D118" s="25"/>
      <c r="E118" s="74"/>
    </row>
    <row r="119" spans="2:5" ht="15" thickBot="1" x14ac:dyDescent="0.35">
      <c r="B119" s="73" t="s">
        <v>846</v>
      </c>
      <c r="C119" s="2"/>
      <c r="D119" s="25"/>
      <c r="E119" s="74"/>
    </row>
    <row r="120" spans="2:5" ht="15" thickBot="1" x14ac:dyDescent="0.35">
      <c r="B120" s="73" t="s">
        <v>847</v>
      </c>
      <c r="C120" s="2"/>
      <c r="D120" s="25"/>
      <c r="E120" s="74"/>
    </row>
    <row r="121" spans="2:5" ht="15" thickBot="1" x14ac:dyDescent="0.35">
      <c r="B121" s="73" t="s">
        <v>848</v>
      </c>
      <c r="C121" s="2"/>
      <c r="D121" s="25"/>
      <c r="E121" s="74"/>
    </row>
    <row r="122" spans="2:5" ht="15" thickBot="1" x14ac:dyDescent="0.35">
      <c r="B122" s="73" t="s">
        <v>849</v>
      </c>
      <c r="C122" s="2"/>
      <c r="D122" s="25"/>
      <c r="E122" s="74"/>
    </row>
    <row r="123" spans="2:5" ht="15" thickBot="1" x14ac:dyDescent="0.35">
      <c r="B123" s="73" t="s">
        <v>850</v>
      </c>
      <c r="C123" s="2"/>
      <c r="D123" s="25"/>
      <c r="E123" s="74"/>
    </row>
    <row r="124" spans="2:5" ht="15" thickBot="1" x14ac:dyDescent="0.35">
      <c r="B124" s="73" t="s">
        <v>851</v>
      </c>
      <c r="C124" s="2"/>
      <c r="D124" s="25"/>
      <c r="E124" s="74"/>
    </row>
    <row r="125" spans="2:5" ht="15" thickBot="1" x14ac:dyDescent="0.35">
      <c r="B125" s="73" t="s">
        <v>852</v>
      </c>
      <c r="C125" s="2"/>
      <c r="D125" s="25"/>
      <c r="E125" s="74"/>
    </row>
    <row r="126" spans="2:5" ht="15" thickBot="1" x14ac:dyDescent="0.35">
      <c r="B126" s="73" t="s">
        <v>853</v>
      </c>
      <c r="C126" s="2"/>
      <c r="D126" s="25"/>
      <c r="E126" s="74"/>
    </row>
    <row r="127" spans="2:5" ht="15" thickBot="1" x14ac:dyDescent="0.35">
      <c r="B127" s="73" t="s">
        <v>854</v>
      </c>
      <c r="C127" s="2"/>
      <c r="D127" s="25"/>
      <c r="E127" s="74"/>
    </row>
    <row r="128" spans="2:5" ht="15" thickBot="1" x14ac:dyDescent="0.35">
      <c r="B128" s="73" t="s">
        <v>855</v>
      </c>
      <c r="C128" s="2"/>
      <c r="D128" s="25"/>
      <c r="E128" s="74"/>
    </row>
    <row r="129" spans="2:5" ht="15" thickBot="1" x14ac:dyDescent="0.35">
      <c r="B129" s="73" t="s">
        <v>856</v>
      </c>
      <c r="C129" s="2"/>
      <c r="D129" s="25"/>
      <c r="E129" s="74"/>
    </row>
    <row r="130" spans="2:5" ht="15" thickBot="1" x14ac:dyDescent="0.35">
      <c r="B130" s="73" t="s">
        <v>857</v>
      </c>
      <c r="C130" s="2"/>
      <c r="D130" s="25"/>
      <c r="E130" s="74"/>
    </row>
    <row r="131" spans="2:5" ht="15" thickBot="1" x14ac:dyDescent="0.35">
      <c r="B131" s="73" t="s">
        <v>858</v>
      </c>
      <c r="C131" s="2"/>
      <c r="D131" s="25"/>
      <c r="E131" s="74"/>
    </row>
    <row r="132" spans="2:5" ht="15" thickBot="1" x14ac:dyDescent="0.35">
      <c r="B132" s="73" t="s">
        <v>859</v>
      </c>
      <c r="C132" s="2"/>
      <c r="D132" s="25"/>
      <c r="E132" s="74"/>
    </row>
    <row r="133" spans="2:5" ht="15" thickBot="1" x14ac:dyDescent="0.35">
      <c r="B133" s="73" t="s">
        <v>860</v>
      </c>
      <c r="C133" s="2"/>
      <c r="D133" s="25"/>
      <c r="E133" s="74"/>
    </row>
    <row r="134" spans="2:5" ht="15" thickBot="1" x14ac:dyDescent="0.35">
      <c r="B134" s="73" t="s">
        <v>861</v>
      </c>
      <c r="C134" s="2"/>
      <c r="D134" s="25"/>
      <c r="E134" s="74"/>
    </row>
    <row r="135" spans="2:5" ht="15" thickBot="1" x14ac:dyDescent="0.35">
      <c r="B135" s="73" t="s">
        <v>862</v>
      </c>
      <c r="C135" s="2"/>
      <c r="D135" s="25"/>
      <c r="E135" s="74"/>
    </row>
    <row r="136" spans="2:5" ht="15" thickBot="1" x14ac:dyDescent="0.35">
      <c r="B136" s="73" t="s">
        <v>863</v>
      </c>
      <c r="C136" s="2"/>
      <c r="D136" s="25"/>
      <c r="E136" s="74"/>
    </row>
    <row r="137" spans="2:5" ht="15" thickBot="1" x14ac:dyDescent="0.35">
      <c r="B137" s="73" t="s">
        <v>864</v>
      </c>
      <c r="C137" s="2"/>
      <c r="D137" s="25"/>
      <c r="E137" s="74"/>
    </row>
    <row r="138" spans="2:5" ht="15" thickBot="1" x14ac:dyDescent="0.35">
      <c r="B138" s="73" t="s">
        <v>865</v>
      </c>
      <c r="C138" s="2"/>
      <c r="D138" s="25"/>
      <c r="E138" s="74"/>
    </row>
    <row r="139" spans="2:5" ht="15" thickBot="1" x14ac:dyDescent="0.35">
      <c r="B139" s="73" t="s">
        <v>866</v>
      </c>
      <c r="C139" s="2"/>
      <c r="D139" s="25"/>
      <c r="E139" s="74"/>
    </row>
    <row r="140" spans="2:5" ht="15" thickBot="1" x14ac:dyDescent="0.35">
      <c r="B140" s="73" t="s">
        <v>867</v>
      </c>
      <c r="C140" s="2"/>
      <c r="D140" s="25"/>
      <c r="E140" s="76"/>
    </row>
    <row r="141" spans="2:5" ht="15" thickBot="1" x14ac:dyDescent="0.35">
      <c r="B141" s="73" t="s">
        <v>868</v>
      </c>
      <c r="C141" s="2"/>
      <c r="D141" s="25"/>
      <c r="E141" s="74"/>
    </row>
    <row r="142" spans="2:5" ht="15" thickBot="1" x14ac:dyDescent="0.35">
      <c r="B142" s="73" t="s">
        <v>869</v>
      </c>
      <c r="C142" s="2"/>
      <c r="D142" s="25"/>
      <c r="E142" s="74"/>
    </row>
    <row r="143" spans="2:5" ht="15" thickBot="1" x14ac:dyDescent="0.35">
      <c r="B143" s="73" t="s">
        <v>870</v>
      </c>
      <c r="C143" s="2"/>
      <c r="D143" s="25"/>
      <c r="E143" s="74"/>
    </row>
    <row r="144" spans="2:5" ht="15" thickBot="1" x14ac:dyDescent="0.35">
      <c r="B144" s="73" t="s">
        <v>871</v>
      </c>
      <c r="C144" s="2"/>
      <c r="D144" s="25"/>
      <c r="E144" s="74"/>
    </row>
    <row r="145" spans="2:5" ht="15" thickBot="1" x14ac:dyDescent="0.35">
      <c r="B145" s="73" t="s">
        <v>872</v>
      </c>
      <c r="C145" s="2"/>
      <c r="D145" s="25"/>
      <c r="E145" s="74"/>
    </row>
    <row r="146" spans="2:5" ht="15" thickBot="1" x14ac:dyDescent="0.35">
      <c r="B146" s="73" t="s">
        <v>873</v>
      </c>
      <c r="C146" s="2"/>
      <c r="D146" s="25"/>
      <c r="E146" s="74"/>
    </row>
    <row r="147" spans="2:5" ht="15" thickBot="1" x14ac:dyDescent="0.35">
      <c r="B147" s="73" t="s">
        <v>874</v>
      </c>
      <c r="C147" s="2"/>
      <c r="D147" s="25"/>
      <c r="E147" s="74"/>
    </row>
    <row r="148" spans="2:5" ht="15" thickBot="1" x14ac:dyDescent="0.35">
      <c r="B148" s="73" t="s">
        <v>875</v>
      </c>
      <c r="C148" s="2"/>
      <c r="D148" s="25"/>
      <c r="E148" s="74"/>
    </row>
    <row r="149" spans="2:5" ht="15" thickBot="1" x14ac:dyDescent="0.35">
      <c r="B149" s="73" t="s">
        <v>876</v>
      </c>
      <c r="C149" s="2"/>
      <c r="D149" s="25"/>
      <c r="E149" s="74"/>
    </row>
    <row r="150" spans="2:5" ht="15" thickBot="1" x14ac:dyDescent="0.35">
      <c r="B150" s="73" t="s">
        <v>877</v>
      </c>
      <c r="C150" s="2"/>
      <c r="D150" s="25"/>
      <c r="E150" s="74"/>
    </row>
    <row r="151" spans="2:5" ht="15" thickBot="1" x14ac:dyDescent="0.35">
      <c r="B151" s="73" t="s">
        <v>878</v>
      </c>
      <c r="C151" s="2"/>
      <c r="D151" s="25"/>
      <c r="E151" s="74"/>
    </row>
    <row r="152" spans="2:5" ht="15" thickBot="1" x14ac:dyDescent="0.35">
      <c r="B152" s="73" t="s">
        <v>879</v>
      </c>
      <c r="C152" s="2"/>
      <c r="D152" s="25"/>
      <c r="E152" s="74"/>
    </row>
    <row r="153" spans="2:5" ht="15" thickBot="1" x14ac:dyDescent="0.35">
      <c r="B153" s="73" t="s">
        <v>880</v>
      </c>
      <c r="C153" s="2"/>
      <c r="D153" s="25"/>
      <c r="E153" s="74"/>
    </row>
    <row r="154" spans="2:5" ht="15" thickBot="1" x14ac:dyDescent="0.35">
      <c r="B154" s="73" t="s">
        <v>881</v>
      </c>
      <c r="C154" s="2"/>
      <c r="D154" s="25"/>
      <c r="E154" s="74"/>
    </row>
    <row r="155" spans="2:5" ht="15" thickBot="1" x14ac:dyDescent="0.35">
      <c r="B155" s="73" t="s">
        <v>882</v>
      </c>
      <c r="C155" s="2"/>
      <c r="D155" s="25"/>
      <c r="E155" s="74"/>
    </row>
    <row r="156" spans="2:5" ht="15" thickBot="1" x14ac:dyDescent="0.35">
      <c r="B156" s="73" t="s">
        <v>883</v>
      </c>
      <c r="C156" s="2"/>
      <c r="D156" s="25"/>
      <c r="E156" s="74"/>
    </row>
    <row r="157" spans="2:5" ht="15" thickBot="1" x14ac:dyDescent="0.35">
      <c r="B157" s="73" t="s">
        <v>884</v>
      </c>
      <c r="C157" s="2"/>
      <c r="D157" s="25"/>
      <c r="E157" s="74"/>
    </row>
    <row r="158" spans="2:5" ht="15" thickBot="1" x14ac:dyDescent="0.35">
      <c r="B158" s="73" t="s">
        <v>885</v>
      </c>
      <c r="C158" s="4"/>
      <c r="D158" s="25"/>
      <c r="E158" s="74"/>
    </row>
    <row r="159" spans="2:5" ht="15" thickBot="1" x14ac:dyDescent="0.35">
      <c r="B159" s="73" t="s">
        <v>886</v>
      </c>
      <c r="C159" s="2"/>
      <c r="D159" s="25"/>
      <c r="E159" s="74"/>
    </row>
    <row r="160" spans="2:5" ht="15" thickBot="1" x14ac:dyDescent="0.35">
      <c r="B160" s="73" t="s">
        <v>887</v>
      </c>
      <c r="C160" s="2"/>
      <c r="D160" s="25"/>
      <c r="E160" s="74"/>
    </row>
    <row r="161" spans="2:5" ht="15" thickBot="1" x14ac:dyDescent="0.35">
      <c r="B161" s="73" t="s">
        <v>888</v>
      </c>
      <c r="C161" s="2"/>
      <c r="D161" s="25"/>
      <c r="E161" s="74"/>
    </row>
    <row r="162" spans="2:5" ht="15" thickBot="1" x14ac:dyDescent="0.35">
      <c r="B162" s="73" t="s">
        <v>889</v>
      </c>
      <c r="C162" s="2"/>
      <c r="D162" s="25"/>
      <c r="E162" s="74"/>
    </row>
    <row r="163" spans="2:5" ht="15" thickBot="1" x14ac:dyDescent="0.35">
      <c r="B163" s="73" t="s">
        <v>890</v>
      </c>
      <c r="C163" s="2"/>
      <c r="D163" s="25"/>
      <c r="E163" s="74"/>
    </row>
    <row r="164" spans="2:5" ht="15" thickBot="1" x14ac:dyDescent="0.35">
      <c r="B164" s="73" t="s">
        <v>891</v>
      </c>
      <c r="C164" s="2"/>
      <c r="D164" s="25"/>
      <c r="E164" s="74"/>
    </row>
    <row r="165" spans="2:5" ht="15" thickBot="1" x14ac:dyDescent="0.35">
      <c r="B165" s="73" t="s">
        <v>892</v>
      </c>
      <c r="C165" s="2"/>
      <c r="D165" s="25"/>
      <c r="E165" s="74"/>
    </row>
    <row r="166" spans="2:5" ht="15" thickBot="1" x14ac:dyDescent="0.35">
      <c r="B166" s="73" t="s">
        <v>893</v>
      </c>
      <c r="C166" s="2"/>
      <c r="D166" s="25"/>
      <c r="E166" s="74"/>
    </row>
    <row r="167" spans="2:5" ht="15" thickBot="1" x14ac:dyDescent="0.35">
      <c r="B167" s="73" t="s">
        <v>894</v>
      </c>
      <c r="C167" s="2"/>
      <c r="D167" s="25"/>
      <c r="E167" s="74"/>
    </row>
    <row r="168" spans="2:5" ht="15" thickBot="1" x14ac:dyDescent="0.35">
      <c r="B168" s="73" t="s">
        <v>895</v>
      </c>
      <c r="C168" s="2"/>
      <c r="D168" s="25"/>
      <c r="E168" s="74"/>
    </row>
    <row r="169" spans="2:5" ht="15" thickBot="1" x14ac:dyDescent="0.35">
      <c r="B169" s="73" t="s">
        <v>896</v>
      </c>
      <c r="C169" s="2"/>
      <c r="D169" s="25"/>
      <c r="E169" s="74"/>
    </row>
    <row r="170" spans="2:5" ht="15" thickBot="1" x14ac:dyDescent="0.35">
      <c r="B170" s="73" t="s">
        <v>897</v>
      </c>
      <c r="C170" s="2"/>
      <c r="D170" s="25"/>
      <c r="E170" s="74"/>
    </row>
    <row r="171" spans="2:5" ht="15" thickBot="1" x14ac:dyDescent="0.35">
      <c r="B171" s="73" t="s">
        <v>898</v>
      </c>
      <c r="C171" s="2"/>
      <c r="D171" s="25"/>
      <c r="E171" s="74"/>
    </row>
    <row r="172" spans="2:5" ht="15" thickBot="1" x14ac:dyDescent="0.35">
      <c r="B172" s="73" t="s">
        <v>899</v>
      </c>
      <c r="C172" s="2"/>
      <c r="D172" s="25"/>
      <c r="E172" s="74"/>
    </row>
    <row r="173" spans="2:5" ht="15" thickBot="1" x14ac:dyDescent="0.35">
      <c r="B173" s="73" t="s">
        <v>900</v>
      </c>
      <c r="C173" s="2"/>
      <c r="D173" s="25"/>
      <c r="E173" s="74"/>
    </row>
    <row r="174" spans="2:5" ht="15" thickBot="1" x14ac:dyDescent="0.35">
      <c r="B174" s="73" t="s">
        <v>901</v>
      </c>
      <c r="C174" s="2"/>
      <c r="D174" s="25"/>
      <c r="E174" s="74"/>
    </row>
    <row r="175" spans="2:5" ht="15" thickBot="1" x14ac:dyDescent="0.35">
      <c r="B175" s="73" t="s">
        <v>902</v>
      </c>
      <c r="C175" s="2"/>
      <c r="D175" s="25"/>
      <c r="E175" s="74"/>
    </row>
    <row r="176" spans="2:5" ht="15" thickBot="1" x14ac:dyDescent="0.35">
      <c r="B176" s="73" t="s">
        <v>903</v>
      </c>
      <c r="C176" s="38"/>
      <c r="D176" s="25"/>
      <c r="E176" s="74"/>
    </row>
    <row r="177" spans="2:5" ht="15" thickBot="1" x14ac:dyDescent="0.35">
      <c r="B177" s="73" t="s">
        <v>904</v>
      </c>
      <c r="C177" s="2"/>
      <c r="D177" s="25"/>
      <c r="E177" s="74"/>
    </row>
    <row r="178" spans="2:5" ht="15" thickBot="1" x14ac:dyDescent="0.35">
      <c r="B178" s="73" t="s">
        <v>905</v>
      </c>
      <c r="C178" s="2"/>
      <c r="D178" s="25"/>
      <c r="E178" s="74"/>
    </row>
    <row r="179" spans="2:5" ht="15" thickBot="1" x14ac:dyDescent="0.35">
      <c r="B179" s="73" t="s">
        <v>906</v>
      </c>
      <c r="C179" s="2"/>
      <c r="D179" s="25"/>
      <c r="E179" s="74"/>
    </row>
    <row r="180" spans="2:5" ht="15" thickBot="1" x14ac:dyDescent="0.35">
      <c r="B180" s="73" t="s">
        <v>907</v>
      </c>
      <c r="C180" s="2"/>
      <c r="D180" s="25"/>
      <c r="E180" s="74"/>
    </row>
    <row r="181" spans="2:5" ht="15" thickBot="1" x14ac:dyDescent="0.35">
      <c r="B181" s="73" t="s">
        <v>908</v>
      </c>
      <c r="C181" s="2"/>
      <c r="D181" s="25"/>
      <c r="E181" s="74"/>
    </row>
    <row r="182" spans="2:5" ht="15" thickBot="1" x14ac:dyDescent="0.35">
      <c r="B182" s="73" t="s">
        <v>909</v>
      </c>
      <c r="C182" s="2"/>
      <c r="D182" s="25"/>
      <c r="E182" s="74"/>
    </row>
    <row r="183" spans="2:5" ht="15" thickBot="1" x14ac:dyDescent="0.35">
      <c r="B183" s="73" t="s">
        <v>910</v>
      </c>
      <c r="C183" s="2"/>
      <c r="D183" s="25"/>
      <c r="E183" s="74"/>
    </row>
    <row r="184" spans="2:5" ht="15" thickBot="1" x14ac:dyDescent="0.35">
      <c r="B184" s="73" t="s">
        <v>911</v>
      </c>
      <c r="C184" s="2"/>
      <c r="D184" s="25"/>
      <c r="E184" s="74"/>
    </row>
    <row r="185" spans="2:5" ht="15" thickBot="1" x14ac:dyDescent="0.35">
      <c r="B185" s="73" t="s">
        <v>912</v>
      </c>
      <c r="C185" s="2"/>
      <c r="D185" s="25"/>
      <c r="E185" s="74"/>
    </row>
    <row r="186" spans="2:5" ht="15" thickBot="1" x14ac:dyDescent="0.35">
      <c r="B186" s="73" t="s">
        <v>913</v>
      </c>
      <c r="C186" s="2"/>
      <c r="D186" s="25"/>
      <c r="E186" s="74"/>
    </row>
    <row r="187" spans="2:5" ht="15" thickBot="1" x14ac:dyDescent="0.35">
      <c r="B187" s="73" t="s">
        <v>914</v>
      </c>
      <c r="C187" s="2"/>
      <c r="D187" s="25"/>
      <c r="E187" s="74"/>
    </row>
    <row r="188" spans="2:5" ht="15" thickBot="1" x14ac:dyDescent="0.35">
      <c r="B188" s="73" t="s">
        <v>915</v>
      </c>
      <c r="C188" s="2"/>
      <c r="D188" s="25"/>
      <c r="E188" s="74"/>
    </row>
    <row r="189" spans="2:5" ht="15" thickBot="1" x14ac:dyDescent="0.35">
      <c r="B189" s="73" t="s">
        <v>916</v>
      </c>
      <c r="C189" s="4"/>
      <c r="D189" s="25"/>
      <c r="E189" s="74"/>
    </row>
    <row r="190" spans="2:5" ht="15" thickBot="1" x14ac:dyDescent="0.35">
      <c r="B190" s="73" t="s">
        <v>917</v>
      </c>
      <c r="C190" s="4"/>
      <c r="D190" s="25"/>
      <c r="E190" s="74"/>
    </row>
    <row r="191" spans="2:5" ht="15" thickBot="1" x14ac:dyDescent="0.35">
      <c r="B191" s="73" t="s">
        <v>918</v>
      </c>
      <c r="C191" s="2"/>
      <c r="D191" s="25"/>
      <c r="E191" s="74"/>
    </row>
    <row r="192" spans="2:5" ht="15" thickBot="1" x14ac:dyDescent="0.35">
      <c r="B192" s="73" t="s">
        <v>919</v>
      </c>
      <c r="C192" s="2"/>
      <c r="D192" s="25"/>
      <c r="E192" s="74"/>
    </row>
    <row r="193" spans="2:5" ht="15" thickBot="1" x14ac:dyDescent="0.35">
      <c r="B193" s="73" t="s">
        <v>920</v>
      </c>
      <c r="C193" s="2"/>
      <c r="D193" s="25"/>
      <c r="E193" s="74"/>
    </row>
    <row r="194" spans="2:5" ht="15" thickBot="1" x14ac:dyDescent="0.35">
      <c r="B194" s="73" t="s">
        <v>921</v>
      </c>
      <c r="C194" s="2"/>
      <c r="D194" s="25"/>
      <c r="E194" s="77"/>
    </row>
    <row r="195" spans="2:5" ht="15" thickBot="1" x14ac:dyDescent="0.35">
      <c r="B195" s="73" t="s">
        <v>922</v>
      </c>
      <c r="C195" s="2"/>
      <c r="D195" s="25"/>
      <c r="E195" s="74"/>
    </row>
    <row r="196" spans="2:5" ht="15" thickBot="1" x14ac:dyDescent="0.35">
      <c r="B196" s="73" t="s">
        <v>923</v>
      </c>
      <c r="C196" s="2"/>
      <c r="D196" s="25"/>
      <c r="E196" s="74"/>
    </row>
    <row r="197" spans="2:5" ht="15" thickBot="1" x14ac:dyDescent="0.35">
      <c r="B197" s="73" t="s">
        <v>924</v>
      </c>
      <c r="C197" s="2"/>
      <c r="D197" s="25"/>
      <c r="E197" s="77"/>
    </row>
    <row r="198" spans="2:5" ht="15" thickBot="1" x14ac:dyDescent="0.35">
      <c r="B198" s="73" t="s">
        <v>925</v>
      </c>
      <c r="C198" s="2"/>
      <c r="D198" s="25"/>
      <c r="E198" s="74"/>
    </row>
    <row r="199" spans="2:5" ht="15" thickBot="1" x14ac:dyDescent="0.35">
      <c r="B199" s="73" t="s">
        <v>926</v>
      </c>
      <c r="C199" s="2"/>
      <c r="D199" s="25"/>
      <c r="E199" s="77"/>
    </row>
    <row r="200" spans="2:5" ht="15" thickBot="1" x14ac:dyDescent="0.35">
      <c r="B200" s="73" t="s">
        <v>927</v>
      </c>
      <c r="C200" s="2"/>
      <c r="D200" s="25"/>
      <c r="E200" s="74"/>
    </row>
    <row r="201" spans="2:5" ht="15" thickBot="1" x14ac:dyDescent="0.35">
      <c r="B201" s="73" t="s">
        <v>928</v>
      </c>
      <c r="C201" s="2"/>
      <c r="D201" s="25"/>
      <c r="E201" s="74"/>
    </row>
    <row r="202" spans="2:5" ht="15" thickBot="1" x14ac:dyDescent="0.35">
      <c r="B202" s="73" t="s">
        <v>929</v>
      </c>
      <c r="C202" s="2"/>
      <c r="D202" s="25"/>
      <c r="E202" s="74"/>
    </row>
    <row r="203" spans="2:5" ht="15" thickBot="1" x14ac:dyDescent="0.35">
      <c r="B203" s="73" t="s">
        <v>930</v>
      </c>
      <c r="C203" s="2"/>
      <c r="D203" s="25"/>
      <c r="E203" s="74"/>
    </row>
    <row r="204" spans="2:5" ht="15" thickBot="1" x14ac:dyDescent="0.35">
      <c r="B204" s="73" t="s">
        <v>931</v>
      </c>
      <c r="C204" s="2"/>
      <c r="D204" s="25"/>
      <c r="E204" s="77"/>
    </row>
    <row r="205" spans="2:5" ht="15" thickBot="1" x14ac:dyDescent="0.35">
      <c r="B205" s="73" t="s">
        <v>932</v>
      </c>
      <c r="C205" s="2"/>
      <c r="D205" s="25"/>
      <c r="E205" s="74"/>
    </row>
    <row r="206" spans="2:5" ht="15" thickBot="1" x14ac:dyDescent="0.35">
      <c r="B206" s="73" t="s">
        <v>933</v>
      </c>
      <c r="C206" s="2"/>
      <c r="D206" s="25"/>
      <c r="E206" s="77"/>
    </row>
    <row r="207" spans="2:5" ht="15" thickBot="1" x14ac:dyDescent="0.35">
      <c r="B207" s="73" t="s">
        <v>934</v>
      </c>
      <c r="C207" s="2"/>
      <c r="D207" s="25"/>
      <c r="E207" s="74"/>
    </row>
    <row r="208" spans="2:5" ht="15" thickBot="1" x14ac:dyDescent="0.35">
      <c r="B208" s="73" t="s">
        <v>935</v>
      </c>
      <c r="C208" s="2"/>
      <c r="D208" s="25"/>
      <c r="E208" s="77"/>
    </row>
    <row r="209" spans="2:5" ht="15" thickBot="1" x14ac:dyDescent="0.35">
      <c r="B209" s="73" t="s">
        <v>936</v>
      </c>
      <c r="C209" s="2"/>
      <c r="D209" s="25"/>
      <c r="E209" s="74"/>
    </row>
    <row r="210" spans="2:5" ht="15" thickBot="1" x14ac:dyDescent="0.35">
      <c r="B210" s="73" t="s">
        <v>937</v>
      </c>
      <c r="C210" s="2"/>
      <c r="D210" s="25"/>
      <c r="E210" s="74"/>
    </row>
    <row r="211" spans="2:5" ht="15" thickBot="1" x14ac:dyDescent="0.35">
      <c r="B211" s="73" t="s">
        <v>938</v>
      </c>
      <c r="C211" s="4"/>
      <c r="D211" s="27"/>
      <c r="E211" s="74"/>
    </row>
    <row r="212" spans="2:5" ht="15" thickBot="1" x14ac:dyDescent="0.35">
      <c r="B212" s="73" t="s">
        <v>939</v>
      </c>
      <c r="C212" s="2"/>
      <c r="D212" s="25"/>
      <c r="E212" s="74"/>
    </row>
    <row r="213" spans="2:5" ht="15" thickBot="1" x14ac:dyDescent="0.35">
      <c r="B213" s="73" t="s">
        <v>940</v>
      </c>
      <c r="C213" s="2"/>
      <c r="D213" s="25"/>
      <c r="E213" s="74"/>
    </row>
    <row r="214" spans="2:5" ht="15" thickBot="1" x14ac:dyDescent="0.35">
      <c r="B214" s="73" t="s">
        <v>941</v>
      </c>
      <c r="C214" s="4"/>
      <c r="D214" s="25"/>
      <c r="E214" s="74"/>
    </row>
    <row r="215" spans="2:5" ht="15" thickBot="1" x14ac:dyDescent="0.35">
      <c r="B215" s="73" t="s">
        <v>942</v>
      </c>
      <c r="C215" s="2"/>
      <c r="D215" s="25"/>
      <c r="E215" s="74"/>
    </row>
    <row r="216" spans="2:5" ht="15" thickBot="1" x14ac:dyDescent="0.35">
      <c r="B216" s="73" t="s">
        <v>943</v>
      </c>
      <c r="C216" s="2"/>
      <c r="D216" s="25"/>
      <c r="E216" s="74"/>
    </row>
    <row r="217" spans="2:5" ht="15" thickBot="1" x14ac:dyDescent="0.35">
      <c r="B217" s="73" t="s">
        <v>944</v>
      </c>
      <c r="C217" s="2"/>
      <c r="D217" s="25"/>
      <c r="E217" s="74"/>
    </row>
    <row r="218" spans="2:5" ht="15" thickBot="1" x14ac:dyDescent="0.35">
      <c r="B218" s="73" t="s">
        <v>945</v>
      </c>
      <c r="C218" s="2"/>
      <c r="D218" s="25"/>
      <c r="E218" s="74"/>
    </row>
    <row r="219" spans="2:5" ht="15" thickBot="1" x14ac:dyDescent="0.35">
      <c r="B219" s="73" t="s">
        <v>946</v>
      </c>
      <c r="C219" s="2"/>
      <c r="D219" s="25"/>
      <c r="E219" s="74"/>
    </row>
    <row r="220" spans="2:5" ht="15" thickBot="1" x14ac:dyDescent="0.35">
      <c r="B220" s="73" t="s">
        <v>947</v>
      </c>
      <c r="C220" s="2"/>
      <c r="D220" s="25"/>
      <c r="E220" s="74"/>
    </row>
    <row r="221" spans="2:5" ht="15" thickBot="1" x14ac:dyDescent="0.35">
      <c r="B221" s="73" t="s">
        <v>948</v>
      </c>
      <c r="C221" s="2"/>
      <c r="D221" s="25"/>
      <c r="E221" s="74"/>
    </row>
    <row r="222" spans="2:5" ht="15" thickBot="1" x14ac:dyDescent="0.35">
      <c r="B222" s="73" t="s">
        <v>949</v>
      </c>
      <c r="C222" s="2"/>
      <c r="D222" s="25"/>
      <c r="E222" s="74"/>
    </row>
    <row r="223" spans="2:5" ht="15" thickBot="1" x14ac:dyDescent="0.35">
      <c r="B223" s="73" t="s">
        <v>950</v>
      </c>
      <c r="C223" s="2"/>
      <c r="D223" s="25"/>
      <c r="E223" s="74"/>
    </row>
    <row r="224" spans="2:5" ht="15" thickBot="1" x14ac:dyDescent="0.35">
      <c r="B224" s="73" t="s">
        <v>951</v>
      </c>
      <c r="C224" s="2"/>
      <c r="D224" s="25"/>
      <c r="E224" s="74"/>
    </row>
    <row r="225" spans="2:5" ht="15" thickBot="1" x14ac:dyDescent="0.35">
      <c r="B225" s="73" t="s">
        <v>952</v>
      </c>
      <c r="C225" s="2"/>
      <c r="D225" s="25"/>
      <c r="E225" s="74"/>
    </row>
    <row r="226" spans="2:5" ht="15" thickBot="1" x14ac:dyDescent="0.35">
      <c r="B226" s="73" t="s">
        <v>953</v>
      </c>
      <c r="C226" s="4"/>
      <c r="D226" s="27"/>
      <c r="E226" s="74"/>
    </row>
    <row r="227" spans="2:5" ht="15" thickBot="1" x14ac:dyDescent="0.35">
      <c r="B227" s="73" t="s">
        <v>954</v>
      </c>
      <c r="C227" s="2"/>
      <c r="D227" s="25"/>
      <c r="E227" s="74"/>
    </row>
    <row r="228" spans="2:5" ht="15" thickBot="1" x14ac:dyDescent="0.35">
      <c r="B228" s="73" t="s">
        <v>955</v>
      </c>
      <c r="C228" s="2"/>
      <c r="D228" s="25"/>
      <c r="E228" s="74"/>
    </row>
    <row r="229" spans="2:5" ht="15" thickBot="1" x14ac:dyDescent="0.35">
      <c r="B229" s="73" t="s">
        <v>956</v>
      </c>
      <c r="C229" s="2"/>
      <c r="D229" s="25"/>
      <c r="E229" s="74"/>
    </row>
    <row r="230" spans="2:5" ht="15" thickBot="1" x14ac:dyDescent="0.35">
      <c r="B230" s="73" t="s">
        <v>957</v>
      </c>
      <c r="C230" s="2"/>
      <c r="D230" s="25"/>
      <c r="E230" s="74"/>
    </row>
    <row r="231" spans="2:5" ht="15" thickBot="1" x14ac:dyDescent="0.35">
      <c r="B231" s="73" t="s">
        <v>958</v>
      </c>
      <c r="C231" s="2"/>
      <c r="D231" s="25"/>
      <c r="E231" s="74"/>
    </row>
    <row r="232" spans="2:5" ht="15" thickBot="1" x14ac:dyDescent="0.35">
      <c r="B232" s="73" t="s">
        <v>959</v>
      </c>
      <c r="C232" s="89"/>
      <c r="D232" s="25"/>
      <c r="E232" s="90"/>
    </row>
    <row r="233" spans="2:5" ht="15" thickBot="1" x14ac:dyDescent="0.35">
      <c r="B233" s="73" t="s">
        <v>960</v>
      </c>
      <c r="C233" s="2" t="s">
        <v>1561</v>
      </c>
      <c r="D233" s="25" t="s">
        <v>22</v>
      </c>
      <c r="E233" s="90" t="s">
        <v>1552</v>
      </c>
    </row>
    <row r="234" spans="2:5" ht="15" thickBot="1" x14ac:dyDescent="0.35">
      <c r="B234" s="73" t="s">
        <v>961</v>
      </c>
      <c r="C234" s="2" t="s">
        <v>1561</v>
      </c>
      <c r="D234" s="25" t="s">
        <v>22</v>
      </c>
      <c r="E234" s="77" t="s">
        <v>58</v>
      </c>
    </row>
    <row r="235" spans="2:5" ht="15" thickBot="1" x14ac:dyDescent="0.35">
      <c r="B235" s="73" t="s">
        <v>962</v>
      </c>
      <c r="C235" s="2" t="s">
        <v>1561</v>
      </c>
      <c r="D235" s="25" t="s">
        <v>22</v>
      </c>
      <c r="E235" s="77" t="s">
        <v>58</v>
      </c>
    </row>
    <row r="236" spans="2:5" ht="15" thickBot="1" x14ac:dyDescent="0.35">
      <c r="B236" s="73" t="s">
        <v>963</v>
      </c>
      <c r="C236" s="2" t="s">
        <v>1561</v>
      </c>
      <c r="D236" s="25" t="s">
        <v>22</v>
      </c>
      <c r="E236" s="90" t="s">
        <v>1552</v>
      </c>
    </row>
    <row r="237" spans="2:5" ht="15" thickBot="1" x14ac:dyDescent="0.35">
      <c r="B237" s="73" t="s">
        <v>964</v>
      </c>
      <c r="C237" s="2"/>
      <c r="D237" s="25"/>
      <c r="E237" s="90"/>
    </row>
    <row r="238" spans="2:5" ht="15" thickBot="1" x14ac:dyDescent="0.35">
      <c r="B238" s="73" t="s">
        <v>965</v>
      </c>
      <c r="C238" s="2"/>
      <c r="D238" s="25"/>
      <c r="E238" s="90"/>
    </row>
    <row r="239" spans="2:5" ht="15" thickBot="1" x14ac:dyDescent="0.35">
      <c r="B239" s="73" t="s">
        <v>966</v>
      </c>
      <c r="C239" s="2" t="s">
        <v>1561</v>
      </c>
      <c r="D239" s="25" t="s">
        <v>22</v>
      </c>
      <c r="E239" s="90" t="s">
        <v>1552</v>
      </c>
    </row>
    <row r="240" spans="2:5" ht="15" thickBot="1" x14ac:dyDescent="0.35">
      <c r="B240" s="73" t="s">
        <v>967</v>
      </c>
      <c r="C240" s="2" t="s">
        <v>1561</v>
      </c>
      <c r="D240" s="25" t="s">
        <v>22</v>
      </c>
      <c r="E240" s="90" t="s">
        <v>1552</v>
      </c>
    </row>
    <row r="241" spans="2:5" ht="15" thickBot="1" x14ac:dyDescent="0.35">
      <c r="B241" s="73" t="s">
        <v>968</v>
      </c>
      <c r="C241" s="89" t="s">
        <v>1561</v>
      </c>
      <c r="D241" s="25" t="s">
        <v>22</v>
      </c>
      <c r="E241" s="90" t="s">
        <v>1552</v>
      </c>
    </row>
    <row r="242" spans="2:5" ht="15" thickBot="1" x14ac:dyDescent="0.35">
      <c r="B242" s="73" t="s">
        <v>969</v>
      </c>
      <c r="C242" s="2" t="s">
        <v>1561</v>
      </c>
      <c r="D242" s="25" t="s">
        <v>22</v>
      </c>
      <c r="E242" s="90" t="s">
        <v>1552</v>
      </c>
    </row>
    <row r="243" spans="2:5" ht="15" thickBot="1" x14ac:dyDescent="0.35">
      <c r="B243" s="73" t="s">
        <v>970</v>
      </c>
      <c r="C243" s="2" t="s">
        <v>1561</v>
      </c>
      <c r="D243" s="25" t="s">
        <v>22</v>
      </c>
      <c r="E243" s="90" t="s">
        <v>1552</v>
      </c>
    </row>
    <row r="244" spans="2:5" ht="15" thickBot="1" x14ac:dyDescent="0.35">
      <c r="B244" s="73" t="s">
        <v>971</v>
      </c>
      <c r="C244" s="2" t="s">
        <v>1561</v>
      </c>
      <c r="D244" s="25" t="s">
        <v>22</v>
      </c>
      <c r="E244" s="90" t="s">
        <v>1552</v>
      </c>
    </row>
    <row r="245" spans="2:5" ht="15" thickBot="1" x14ac:dyDescent="0.35">
      <c r="B245" s="73" t="s">
        <v>972</v>
      </c>
      <c r="C245" s="2" t="s">
        <v>1561</v>
      </c>
      <c r="D245" s="25" t="s">
        <v>22</v>
      </c>
      <c r="E245" s="90" t="s">
        <v>1552</v>
      </c>
    </row>
    <row r="246" spans="2:5" ht="15" thickBot="1" x14ac:dyDescent="0.35">
      <c r="B246" s="73" t="s">
        <v>973</v>
      </c>
      <c r="C246" s="2"/>
      <c r="D246" s="25"/>
      <c r="E246" s="74"/>
    </row>
    <row r="247" spans="2:5" ht="15" thickBot="1" x14ac:dyDescent="0.35">
      <c r="B247" s="73" t="s">
        <v>974</v>
      </c>
      <c r="C247" s="2"/>
      <c r="D247" s="25"/>
      <c r="E247" s="74"/>
    </row>
    <row r="248" spans="2:5" ht="15" thickBot="1" x14ac:dyDescent="0.35">
      <c r="B248" s="73" t="s">
        <v>975</v>
      </c>
      <c r="C248" s="4"/>
      <c r="D248" s="25"/>
      <c r="E248" s="74"/>
    </row>
    <row r="249" spans="2:5" ht="15" thickBot="1" x14ac:dyDescent="0.35">
      <c r="B249" s="73" t="s">
        <v>976</v>
      </c>
      <c r="C249" s="2"/>
      <c r="D249" s="25"/>
      <c r="E249" s="74"/>
    </row>
    <row r="250" spans="2:5" ht="15" thickBot="1" x14ac:dyDescent="0.35">
      <c r="B250" s="73" t="s">
        <v>977</v>
      </c>
      <c r="C250" s="4"/>
      <c r="D250" s="25"/>
      <c r="E250" s="74"/>
    </row>
    <row r="251" spans="2:5" ht="15" thickBot="1" x14ac:dyDescent="0.35">
      <c r="B251" s="73" t="s">
        <v>978</v>
      </c>
      <c r="C251" s="2"/>
      <c r="D251" s="25"/>
      <c r="E251" s="74"/>
    </row>
    <row r="252" spans="2:5" ht="15" thickBot="1" x14ac:dyDescent="0.35">
      <c r="B252" s="73" t="s">
        <v>979</v>
      </c>
      <c r="C252" s="2"/>
      <c r="D252" s="25"/>
      <c r="E252" s="74"/>
    </row>
    <row r="253" spans="2:5" ht="15" thickBot="1" x14ac:dyDescent="0.35">
      <c r="B253" s="73" t="s">
        <v>980</v>
      </c>
      <c r="C253" s="2"/>
      <c r="D253" s="25"/>
      <c r="E253" s="74"/>
    </row>
    <row r="254" spans="2:5" ht="15" thickBot="1" x14ac:dyDescent="0.35">
      <c r="B254" s="73" t="s">
        <v>981</v>
      </c>
      <c r="C254" s="2"/>
      <c r="D254" s="25"/>
      <c r="E254" s="74"/>
    </row>
    <row r="255" spans="2:5" ht="15" thickBot="1" x14ac:dyDescent="0.35">
      <c r="B255" s="73" t="s">
        <v>982</v>
      </c>
      <c r="C255" s="2"/>
      <c r="D255" s="25"/>
      <c r="E255" s="74"/>
    </row>
    <row r="256" spans="2:5" ht="15" thickBot="1" x14ac:dyDescent="0.35">
      <c r="B256" s="73" t="s">
        <v>983</v>
      </c>
      <c r="C256" s="20" t="s">
        <v>984</v>
      </c>
      <c r="D256" s="24" t="s">
        <v>9</v>
      </c>
      <c r="E256" s="78" t="s">
        <v>10</v>
      </c>
    </row>
    <row r="257" spans="2:5" ht="15" thickBot="1" x14ac:dyDescent="0.35">
      <c r="B257" s="79" t="s">
        <v>985</v>
      </c>
      <c r="C257" s="80" t="s">
        <v>449</v>
      </c>
      <c r="D257" s="81"/>
      <c r="E257" s="82"/>
    </row>
  </sheetData>
  <phoneticPr fontId="10" type="noConversion"/>
  <conditionalFormatting sqref="C2 C4:C257">
    <cfRule type="containsText" dxfId="81" priority="29" operator="containsText" text="libre">
      <formula>NOT(ISERROR(SEARCH("libre",C2)))</formula>
    </cfRule>
  </conditionalFormatting>
  <conditionalFormatting sqref="D2 D4:D257 E34">
    <cfRule type="containsText" dxfId="80" priority="21" operator="containsText" text="TELEFONO">
      <formula>NOT(ISERROR(SEARCH("TELEFONO",D2)))</formula>
    </cfRule>
    <cfRule type="containsText" dxfId="79" priority="22" operator="containsText" text="CONTROL ACCESO">
      <formula>NOT(ISERROR(SEARCH("CONTROL ACCESO",D2)))</formula>
    </cfRule>
    <cfRule type="containsText" dxfId="78" priority="23" operator="containsText" text="RELOJ TALANA">
      <formula>NOT(ISERROR(SEARCH("RELOJ TALANA",D2)))</formula>
    </cfRule>
    <cfRule type="containsText" dxfId="77" priority="24" operator="containsText" text="IMPRESORA">
      <formula>NOT(ISERROR(SEARCH("IMPRESORA",D2)))</formula>
    </cfRule>
    <cfRule type="containsText" dxfId="76" priority="25" operator="containsText" text="NUC">
      <formula>NOT(ISERROR(SEARCH("NUC",D2)))</formula>
    </cfRule>
  </conditionalFormatting>
  <conditionalFormatting sqref="D2 D5:D7 D9:D257 E34">
    <cfRule type="cellIs" dxfId="75" priority="27" operator="equal">
      <formula>"USUARIO"</formula>
    </cfRule>
    <cfRule type="cellIs" dxfId="74" priority="28" operator="equal">
      <formula>"SERVIDOR"</formula>
    </cfRule>
  </conditionalFormatting>
  <conditionalFormatting sqref="D4:D257 D2 E34">
    <cfRule type="containsText" dxfId="73" priority="20" operator="containsText" text="SENSOR ">
      <formula>NOT(ISERROR(SEARCH("SENSOR ",D2)))</formula>
    </cfRule>
  </conditionalFormatting>
  <conditionalFormatting sqref="D4:E4">
    <cfRule type="containsText" dxfId="72" priority="26" operator="containsText" text="libre">
      <formula>NOT(ISERROR(SEARCH("libre",D4)))</formula>
    </cfRule>
  </conditionalFormatting>
  <conditionalFormatting sqref="D8:E8">
    <cfRule type="containsText" dxfId="71" priority="13" operator="containsText" text="libre">
      <formula>NOT(ISERROR(SEARCH("libre",D8)))</formula>
    </cfRule>
  </conditionalFormatting>
  <conditionalFormatting sqref="E194">
    <cfRule type="containsText" dxfId="70" priority="18" operator="containsText" text="libre">
      <formula>NOT(ISERROR(SEARCH("libre",E194)))</formula>
    </cfRule>
  </conditionalFormatting>
  <conditionalFormatting sqref="E197">
    <cfRule type="containsText" dxfId="69" priority="17" operator="containsText" text="libre">
      <formula>NOT(ISERROR(SEARCH("libre",E197)))</formula>
    </cfRule>
  </conditionalFormatting>
  <conditionalFormatting sqref="E199">
    <cfRule type="containsText" dxfId="68" priority="16" operator="containsText" text="libre">
      <formula>NOT(ISERROR(SEARCH("libre",E199)))</formula>
    </cfRule>
  </conditionalFormatting>
  <conditionalFormatting sqref="E204">
    <cfRule type="containsText" dxfId="67" priority="19" operator="containsText" text="libre">
      <formula>NOT(ISERROR(SEARCH("libre",E204)))</formula>
    </cfRule>
  </conditionalFormatting>
  <conditionalFormatting sqref="E206">
    <cfRule type="containsText" dxfId="66" priority="15" operator="containsText" text="libre">
      <formula>NOT(ISERROR(SEARCH("libre",E206)))</formula>
    </cfRule>
  </conditionalFormatting>
  <conditionalFormatting sqref="E208">
    <cfRule type="containsText" dxfId="65" priority="12" operator="containsText" text="libre">
      <formula>NOT(ISERROR(SEARCH("libre",E208)))</formula>
    </cfRule>
  </conditionalFormatting>
  <conditionalFormatting sqref="E232:E245">
    <cfRule type="containsText" dxfId="64" priority="1" operator="containsText" text="libre">
      <formula>NOT(ISERROR(SEARCH("libre",E232)))</formula>
    </cfRule>
  </conditionalFormatting>
  <conditionalFormatting sqref="G4 G7:G10">
    <cfRule type="containsText" dxfId="63" priority="3" operator="containsText" text="SENSOR ">
      <formula>NOT(ISERROR(SEARCH("SENSOR ",G4)))</formula>
    </cfRule>
    <cfRule type="containsText" dxfId="62" priority="4" operator="containsText" text="TELEFONO">
      <formula>NOT(ISERROR(SEARCH("TELEFONO",G4)))</formula>
    </cfRule>
    <cfRule type="containsText" dxfId="61" priority="5" operator="containsText" text="CONTROL ACCESO">
      <formula>NOT(ISERROR(SEARCH("CONTROL ACCESO",G4)))</formula>
    </cfRule>
    <cfRule type="containsText" dxfId="60" priority="6" operator="containsText" text="RELOJ TALANA">
      <formula>NOT(ISERROR(SEARCH("RELOJ TALANA",G4)))</formula>
    </cfRule>
    <cfRule type="containsText" dxfId="59" priority="7" operator="containsText" text="IMPRESORA">
      <formula>NOT(ISERROR(SEARCH("IMPRESORA",G4)))</formula>
    </cfRule>
    <cfRule type="containsText" dxfId="58" priority="8" operator="containsText" text="NUC">
      <formula>NOT(ISERROR(SEARCH("NUC",G4)))</formula>
    </cfRule>
    <cfRule type="cellIs" dxfId="57" priority="9" operator="equal">
      <formula>"USUARIO"</formula>
    </cfRule>
    <cfRule type="cellIs" dxfId="56" priority="10" operator="equal">
      <formula>"SERVIDOR"</formula>
    </cfRule>
  </conditionalFormatting>
  <conditionalFormatting sqref="G11:G12">
    <cfRule type="containsText" dxfId="55" priority="2" operator="containsText" text="libre">
      <formula>NOT(ISERROR(SEARCH("libre",G11)))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FB9F-09C4-41EB-B660-A2646B437EDE}">
  <dimension ref="B1:I257"/>
  <sheetViews>
    <sheetView topLeftCell="A237" workbookViewId="0">
      <selection activeCell="B71" sqref="B71"/>
    </sheetView>
  </sheetViews>
  <sheetFormatPr baseColWidth="10" defaultColWidth="11.44140625" defaultRowHeight="14.4" x14ac:dyDescent="0.3"/>
  <cols>
    <col min="2" max="2" width="17.44140625" customWidth="1"/>
    <col min="3" max="3" width="37.5546875" customWidth="1"/>
    <col min="4" max="4" width="16.5546875" style="23" customWidth="1"/>
    <col min="5" max="5" width="23.5546875" customWidth="1"/>
    <col min="6" max="6" width="32.5546875" customWidth="1"/>
    <col min="7" max="7" width="16.5546875" bestFit="1" customWidth="1"/>
    <col min="8" max="8" width="9.5546875" bestFit="1" customWidth="1"/>
    <col min="9" max="9" width="11.5546875" bestFit="1" customWidth="1"/>
  </cols>
  <sheetData>
    <row r="1" spans="2:9" ht="15" thickBot="1" x14ac:dyDescent="0.35"/>
    <row r="2" spans="2:9" ht="15" thickBot="1" x14ac:dyDescent="0.35">
      <c r="B2" s="29" t="s">
        <v>1</v>
      </c>
      <c r="C2" s="30" t="s">
        <v>2</v>
      </c>
      <c r="D2" s="30" t="s">
        <v>452</v>
      </c>
      <c r="E2" s="31" t="s">
        <v>4</v>
      </c>
      <c r="H2" s="6" t="s">
        <v>5</v>
      </c>
      <c r="I2" s="7" t="s">
        <v>6</v>
      </c>
    </row>
    <row r="3" spans="2:9" ht="15" thickBot="1" x14ac:dyDescent="0.35">
      <c r="B3" s="32" t="s">
        <v>986</v>
      </c>
      <c r="C3" s="20" t="s">
        <v>8</v>
      </c>
      <c r="D3" s="24" t="s">
        <v>9</v>
      </c>
      <c r="E3" s="33" t="s">
        <v>10</v>
      </c>
      <c r="G3" s="9" t="s">
        <v>11</v>
      </c>
      <c r="H3" s="10">
        <v>255</v>
      </c>
      <c r="I3" s="11">
        <v>1</v>
      </c>
    </row>
    <row r="4" spans="2:9" ht="15" thickBot="1" x14ac:dyDescent="0.35">
      <c r="B4" s="32" t="s">
        <v>987</v>
      </c>
      <c r="C4" s="2"/>
      <c r="D4" s="66"/>
      <c r="E4" s="35"/>
      <c r="G4" s="5" t="s">
        <v>14</v>
      </c>
      <c r="H4" s="8">
        <f>COUNTIF(D:D,"BOTONERA")</f>
        <v>0</v>
      </c>
      <c r="I4" s="12">
        <f>H4/$H$3</f>
        <v>0</v>
      </c>
    </row>
    <row r="5" spans="2:9" ht="15" thickBot="1" x14ac:dyDescent="0.35">
      <c r="B5" s="32" t="s">
        <v>988</v>
      </c>
      <c r="C5" s="2"/>
      <c r="D5" s="25"/>
      <c r="E5" s="35"/>
      <c r="G5" s="13" t="s">
        <v>18</v>
      </c>
      <c r="H5" s="8">
        <f>COUNTIF(D:D,"cctv")</f>
        <v>0</v>
      </c>
      <c r="I5" s="12">
        <f t="shared" ref="I5:I14" si="0">H5/$H$3</f>
        <v>0</v>
      </c>
    </row>
    <row r="6" spans="2:9" ht="15" thickBot="1" x14ac:dyDescent="0.35">
      <c r="B6" s="32" t="s">
        <v>989</v>
      </c>
      <c r="C6" s="2"/>
      <c r="D6" s="25"/>
      <c r="E6" s="35"/>
      <c r="G6" s="13" t="s">
        <v>20</v>
      </c>
      <c r="H6" s="8">
        <v>1</v>
      </c>
      <c r="I6" s="12">
        <f t="shared" si="0"/>
        <v>3.9215686274509803E-3</v>
      </c>
    </row>
    <row r="7" spans="2:9" ht="15" thickBot="1" x14ac:dyDescent="0.35">
      <c r="B7" s="32" t="s">
        <v>990</v>
      </c>
      <c r="C7" s="2"/>
      <c r="D7" s="25"/>
      <c r="E7" s="35"/>
      <c r="G7" s="5" t="s">
        <v>22</v>
      </c>
      <c r="H7" s="8">
        <f>COUNTIF(D:D,"IMPRESORA")</f>
        <v>5</v>
      </c>
      <c r="I7" s="12">
        <f t="shared" si="0"/>
        <v>1.9607843137254902E-2</v>
      </c>
    </row>
    <row r="8" spans="2:9" ht="15" thickBot="1" x14ac:dyDescent="0.35">
      <c r="B8" s="32" t="s">
        <v>991</v>
      </c>
      <c r="C8" s="3"/>
      <c r="D8" s="66"/>
      <c r="E8" s="35"/>
      <c r="G8" s="5" t="s">
        <v>24</v>
      </c>
      <c r="H8" s="8">
        <f>COUNTIF(D:D,"NUC")</f>
        <v>1</v>
      </c>
      <c r="I8" s="12">
        <f t="shared" si="0"/>
        <v>3.9215686274509803E-3</v>
      </c>
    </row>
    <row r="9" spans="2:9" ht="15" thickBot="1" x14ac:dyDescent="0.35">
      <c r="B9" s="32" t="s">
        <v>992</v>
      </c>
      <c r="C9" s="2"/>
      <c r="D9" s="25"/>
      <c r="E9" s="35"/>
      <c r="G9" s="5" t="s">
        <v>28</v>
      </c>
      <c r="H9" s="8">
        <f>COUNTIF(D:D,"RELOJ TALANA")</f>
        <v>0</v>
      </c>
      <c r="I9" s="12">
        <f t="shared" si="0"/>
        <v>0</v>
      </c>
    </row>
    <row r="10" spans="2:9" ht="15" thickBot="1" x14ac:dyDescent="0.35">
      <c r="B10" s="32" t="s">
        <v>993</v>
      </c>
      <c r="C10" s="2"/>
      <c r="D10" s="25"/>
      <c r="E10" s="35"/>
      <c r="G10" s="5" t="s">
        <v>17</v>
      </c>
      <c r="H10" s="8">
        <f>COUNTIF(D:D,"SERVIDOR")</f>
        <v>0</v>
      </c>
      <c r="I10" s="12">
        <f t="shared" si="0"/>
        <v>0</v>
      </c>
    </row>
    <row r="11" spans="2:9" ht="15" thickBot="1" x14ac:dyDescent="0.35">
      <c r="B11" s="32" t="s">
        <v>994</v>
      </c>
      <c r="C11" s="2"/>
      <c r="D11" s="25"/>
      <c r="E11" s="35"/>
      <c r="G11" s="5" t="s">
        <v>32</v>
      </c>
      <c r="H11" s="8">
        <f>COUNTIF(D:D,"TELEFONO")</f>
        <v>0</v>
      </c>
      <c r="I11" s="12">
        <f t="shared" si="0"/>
        <v>0</v>
      </c>
    </row>
    <row r="12" spans="2:9" ht="15" thickBot="1" x14ac:dyDescent="0.35">
      <c r="B12" s="32" t="s">
        <v>995</v>
      </c>
      <c r="C12" s="2"/>
      <c r="D12" s="25"/>
      <c r="E12" s="35"/>
      <c r="G12" s="14" t="s">
        <v>34</v>
      </c>
      <c r="H12" s="8">
        <f>COUNTIF(D:D,"USUARIO")</f>
        <v>1</v>
      </c>
      <c r="I12" s="12">
        <f t="shared" si="0"/>
        <v>3.9215686274509803E-3</v>
      </c>
    </row>
    <row r="13" spans="2:9" ht="15" thickBot="1" x14ac:dyDescent="0.35">
      <c r="B13" s="32" t="s">
        <v>996</v>
      </c>
      <c r="C13" s="2"/>
      <c r="D13" s="25"/>
      <c r="E13" s="35"/>
      <c r="G13" s="5" t="s">
        <v>36</v>
      </c>
      <c r="H13" s="8">
        <f>COUNTIF(C:C,"libre")</f>
        <v>0</v>
      </c>
      <c r="I13" s="12">
        <f t="shared" si="0"/>
        <v>0</v>
      </c>
    </row>
    <row r="14" spans="2:9" ht="15" thickBot="1" x14ac:dyDescent="0.35">
      <c r="B14" s="32" t="s">
        <v>997</v>
      </c>
      <c r="C14" s="2"/>
      <c r="D14" s="25"/>
      <c r="E14" s="35"/>
      <c r="G14" s="15" t="s">
        <v>13</v>
      </c>
      <c r="H14" s="16">
        <f>COUNTIF(C:C,"¿?")</f>
        <v>0</v>
      </c>
      <c r="I14" s="12">
        <f t="shared" si="0"/>
        <v>0</v>
      </c>
    </row>
    <row r="15" spans="2:9" ht="15" thickBot="1" x14ac:dyDescent="0.35">
      <c r="B15" s="32" t="s">
        <v>998</v>
      </c>
      <c r="C15" s="2"/>
      <c r="D15" s="25"/>
      <c r="E15" s="35"/>
    </row>
    <row r="16" spans="2:9" ht="15" thickBot="1" x14ac:dyDescent="0.35">
      <c r="B16" s="32" t="s">
        <v>999</v>
      </c>
      <c r="C16" s="4"/>
      <c r="D16" s="25"/>
      <c r="E16" s="35"/>
    </row>
    <row r="17" spans="2:5" ht="15" thickBot="1" x14ac:dyDescent="0.35">
      <c r="B17" s="32" t="s">
        <v>1000</v>
      </c>
      <c r="C17" s="2"/>
      <c r="D17" s="25"/>
      <c r="E17" s="35"/>
    </row>
    <row r="18" spans="2:5" ht="15" thickBot="1" x14ac:dyDescent="0.35">
      <c r="B18" s="32" t="s">
        <v>1001</v>
      </c>
      <c r="C18" s="2"/>
      <c r="D18" s="25"/>
      <c r="E18" s="35"/>
    </row>
    <row r="19" spans="2:5" ht="15" thickBot="1" x14ac:dyDescent="0.35">
      <c r="B19" s="32" t="s">
        <v>1002</v>
      </c>
      <c r="C19" s="2"/>
      <c r="D19" s="25"/>
      <c r="E19" s="35"/>
    </row>
    <row r="20" spans="2:5" ht="15" thickBot="1" x14ac:dyDescent="0.35">
      <c r="B20" s="32" t="s">
        <v>1003</v>
      </c>
      <c r="C20" s="2"/>
      <c r="D20" s="25"/>
      <c r="E20" s="35"/>
    </row>
    <row r="21" spans="2:5" ht="15" thickBot="1" x14ac:dyDescent="0.35">
      <c r="B21" s="32" t="s">
        <v>1004</v>
      </c>
      <c r="C21" s="2"/>
      <c r="D21" s="25"/>
      <c r="E21" s="35"/>
    </row>
    <row r="22" spans="2:5" ht="15" thickBot="1" x14ac:dyDescent="0.35">
      <c r="B22" s="32" t="s">
        <v>1005</v>
      </c>
      <c r="C22" s="2"/>
      <c r="D22" s="25"/>
      <c r="E22" s="35"/>
    </row>
    <row r="23" spans="2:5" ht="15" thickBot="1" x14ac:dyDescent="0.35">
      <c r="B23" s="32" t="s">
        <v>1006</v>
      </c>
      <c r="C23" s="2"/>
      <c r="D23" s="25"/>
      <c r="E23" s="35"/>
    </row>
    <row r="24" spans="2:5" ht="15" thickBot="1" x14ac:dyDescent="0.35">
      <c r="B24" s="32" t="s">
        <v>1007</v>
      </c>
      <c r="C24" s="2"/>
      <c r="D24" s="25"/>
      <c r="E24" s="35"/>
    </row>
    <row r="25" spans="2:5" ht="15" thickBot="1" x14ac:dyDescent="0.35">
      <c r="B25" s="32" t="s">
        <v>1008</v>
      </c>
      <c r="C25" s="2"/>
      <c r="D25" s="25"/>
      <c r="E25" s="35"/>
    </row>
    <row r="26" spans="2:5" ht="15" thickBot="1" x14ac:dyDescent="0.35">
      <c r="B26" s="32" t="s">
        <v>1009</v>
      </c>
      <c r="C26" s="2"/>
      <c r="D26" s="25"/>
      <c r="E26" s="35"/>
    </row>
    <row r="27" spans="2:5" ht="15" thickBot="1" x14ac:dyDescent="0.35">
      <c r="B27" s="32" t="s">
        <v>1010</v>
      </c>
      <c r="C27" s="2"/>
      <c r="D27" s="25"/>
      <c r="E27" s="35"/>
    </row>
    <row r="28" spans="2:5" ht="15" thickBot="1" x14ac:dyDescent="0.35">
      <c r="B28" s="32" t="s">
        <v>1011</v>
      </c>
      <c r="C28" s="2"/>
      <c r="D28" s="25"/>
      <c r="E28" s="35"/>
    </row>
    <row r="29" spans="2:5" ht="15" thickBot="1" x14ac:dyDescent="0.35">
      <c r="B29" s="32" t="s">
        <v>1012</v>
      </c>
      <c r="C29" s="2"/>
      <c r="D29" s="25"/>
      <c r="E29" s="35"/>
    </row>
    <row r="30" spans="2:5" ht="15" thickBot="1" x14ac:dyDescent="0.35">
      <c r="B30" s="32" t="s">
        <v>1013</v>
      </c>
      <c r="C30" s="36"/>
      <c r="D30" s="25"/>
      <c r="E30" s="35"/>
    </row>
    <row r="31" spans="2:5" ht="15" thickBot="1" x14ac:dyDescent="0.35">
      <c r="B31" s="32" t="s">
        <v>1014</v>
      </c>
      <c r="C31" s="2"/>
      <c r="D31" s="25"/>
      <c r="E31" s="35"/>
    </row>
    <row r="32" spans="2:5" ht="15" thickBot="1" x14ac:dyDescent="0.35">
      <c r="B32" s="32" t="s">
        <v>1015</v>
      </c>
      <c r="C32" s="2"/>
      <c r="D32" s="25"/>
      <c r="E32" s="37"/>
    </row>
    <row r="33" spans="2:5" ht="15" thickBot="1" x14ac:dyDescent="0.35">
      <c r="B33" s="32" t="s">
        <v>1016</v>
      </c>
      <c r="C33" s="2"/>
      <c r="D33" s="25"/>
      <c r="E33" s="35"/>
    </row>
    <row r="34" spans="2:5" ht="15" thickBot="1" x14ac:dyDescent="0.35">
      <c r="B34" s="32" t="s">
        <v>1017</v>
      </c>
      <c r="C34" s="2"/>
      <c r="D34" s="25"/>
      <c r="E34" s="35"/>
    </row>
    <row r="35" spans="2:5" ht="15" thickBot="1" x14ac:dyDescent="0.35">
      <c r="B35" s="32" t="s">
        <v>1018</v>
      </c>
      <c r="C35" s="2"/>
      <c r="D35" s="25"/>
      <c r="E35" s="35"/>
    </row>
    <row r="36" spans="2:5" ht="15" thickBot="1" x14ac:dyDescent="0.35">
      <c r="B36" s="32" t="s">
        <v>1019</v>
      </c>
      <c r="C36" s="2"/>
      <c r="D36" s="25"/>
      <c r="E36" s="35"/>
    </row>
    <row r="37" spans="2:5" ht="15" thickBot="1" x14ac:dyDescent="0.35">
      <c r="B37" s="32" t="s">
        <v>1020</v>
      </c>
      <c r="C37" s="2"/>
      <c r="D37" s="25"/>
      <c r="E37" s="35"/>
    </row>
    <row r="38" spans="2:5" ht="15" thickBot="1" x14ac:dyDescent="0.35">
      <c r="B38" s="32" t="s">
        <v>1021</v>
      </c>
      <c r="C38" s="2"/>
      <c r="D38" s="25"/>
      <c r="E38" s="35"/>
    </row>
    <row r="39" spans="2:5" ht="15" thickBot="1" x14ac:dyDescent="0.35">
      <c r="B39" s="32" t="s">
        <v>1022</v>
      </c>
      <c r="C39" s="38"/>
      <c r="D39" s="25"/>
      <c r="E39" s="35"/>
    </row>
    <row r="40" spans="2:5" ht="15" thickBot="1" x14ac:dyDescent="0.35">
      <c r="B40" s="32" t="s">
        <v>1023</v>
      </c>
      <c r="C40" s="2"/>
      <c r="D40" s="25"/>
      <c r="E40" s="35"/>
    </row>
    <row r="41" spans="2:5" ht="15" thickBot="1" x14ac:dyDescent="0.35">
      <c r="B41" s="32" t="s">
        <v>1024</v>
      </c>
      <c r="C41" s="2"/>
      <c r="D41" s="25"/>
      <c r="E41" s="35"/>
    </row>
    <row r="42" spans="2:5" ht="15" thickBot="1" x14ac:dyDescent="0.35">
      <c r="B42" s="32" t="s">
        <v>1025</v>
      </c>
      <c r="C42" s="2"/>
      <c r="D42" s="25"/>
      <c r="E42" s="35"/>
    </row>
    <row r="43" spans="2:5" ht="15" thickBot="1" x14ac:dyDescent="0.35">
      <c r="B43" s="32" t="s">
        <v>1026</v>
      </c>
      <c r="C43" s="2"/>
      <c r="D43" s="25"/>
      <c r="E43" s="35"/>
    </row>
    <row r="44" spans="2:5" ht="15" thickBot="1" x14ac:dyDescent="0.35">
      <c r="B44" s="32" t="s">
        <v>1027</v>
      </c>
      <c r="C44" s="2"/>
      <c r="D44" s="25"/>
      <c r="E44" s="35"/>
    </row>
    <row r="45" spans="2:5" ht="15" thickBot="1" x14ac:dyDescent="0.35">
      <c r="B45" s="32" t="s">
        <v>1028</v>
      </c>
      <c r="C45" s="2"/>
      <c r="D45" s="25"/>
      <c r="E45" s="35"/>
    </row>
    <row r="46" spans="2:5" ht="15" thickBot="1" x14ac:dyDescent="0.35">
      <c r="B46" s="32" t="s">
        <v>1029</v>
      </c>
      <c r="C46" s="2"/>
      <c r="D46" s="25"/>
      <c r="E46" s="35"/>
    </row>
    <row r="47" spans="2:5" ht="15" thickBot="1" x14ac:dyDescent="0.35">
      <c r="B47" s="32" t="s">
        <v>1030</v>
      </c>
      <c r="C47" s="2"/>
      <c r="D47" s="25"/>
      <c r="E47" s="35"/>
    </row>
    <row r="48" spans="2:5" ht="15" thickBot="1" x14ac:dyDescent="0.35">
      <c r="B48" s="32" t="s">
        <v>1031</v>
      </c>
      <c r="C48" s="2"/>
      <c r="D48" s="25"/>
      <c r="E48" s="35"/>
    </row>
    <row r="49" spans="2:5" ht="15" thickBot="1" x14ac:dyDescent="0.35">
      <c r="B49" s="32" t="s">
        <v>1032</v>
      </c>
      <c r="C49" s="2"/>
      <c r="D49" s="25"/>
      <c r="E49" s="35"/>
    </row>
    <row r="50" spans="2:5" ht="15" thickBot="1" x14ac:dyDescent="0.35">
      <c r="B50" s="32" t="s">
        <v>1033</v>
      </c>
      <c r="C50" s="2"/>
      <c r="D50" s="25"/>
      <c r="E50" s="35"/>
    </row>
    <row r="51" spans="2:5" ht="15" thickBot="1" x14ac:dyDescent="0.35">
      <c r="B51" s="32" t="s">
        <v>1034</v>
      </c>
      <c r="C51" s="2"/>
      <c r="D51" s="25"/>
      <c r="E51" s="35"/>
    </row>
    <row r="52" spans="2:5" ht="15" thickBot="1" x14ac:dyDescent="0.35">
      <c r="B52" s="32" t="s">
        <v>1035</v>
      </c>
      <c r="C52" s="2"/>
      <c r="D52" s="25"/>
      <c r="E52" s="35"/>
    </row>
    <row r="53" spans="2:5" ht="15" thickBot="1" x14ac:dyDescent="0.35">
      <c r="B53" s="32" t="s">
        <v>1036</v>
      </c>
      <c r="C53" s="2"/>
      <c r="D53" s="25"/>
      <c r="E53" s="35"/>
    </row>
    <row r="54" spans="2:5" ht="15" thickBot="1" x14ac:dyDescent="0.35">
      <c r="B54" s="32" t="s">
        <v>1037</v>
      </c>
      <c r="C54" s="21"/>
      <c r="D54" s="25"/>
      <c r="E54" s="35"/>
    </row>
    <row r="55" spans="2:5" ht="15" thickBot="1" x14ac:dyDescent="0.35">
      <c r="B55" s="32" t="s">
        <v>1038</v>
      </c>
      <c r="C55" s="2"/>
      <c r="D55" s="25"/>
      <c r="E55" s="35"/>
    </row>
    <row r="56" spans="2:5" ht="15" thickBot="1" x14ac:dyDescent="0.35">
      <c r="B56" s="32" t="s">
        <v>1039</v>
      </c>
      <c r="C56" s="2"/>
      <c r="D56" s="25"/>
      <c r="E56" s="35"/>
    </row>
    <row r="57" spans="2:5" ht="15" thickBot="1" x14ac:dyDescent="0.35">
      <c r="B57" s="32" t="s">
        <v>1040</v>
      </c>
      <c r="C57" s="2"/>
      <c r="D57" s="25"/>
      <c r="E57" s="35"/>
    </row>
    <row r="58" spans="2:5" ht="15" thickBot="1" x14ac:dyDescent="0.35">
      <c r="B58" s="32" t="s">
        <v>1041</v>
      </c>
      <c r="C58" s="2"/>
      <c r="D58" s="25"/>
      <c r="E58" s="35"/>
    </row>
    <row r="59" spans="2:5" ht="15" thickBot="1" x14ac:dyDescent="0.35">
      <c r="B59" s="32" t="s">
        <v>1042</v>
      </c>
      <c r="C59" s="2"/>
      <c r="D59" s="25"/>
      <c r="E59" s="35"/>
    </row>
    <row r="60" spans="2:5" ht="15" thickBot="1" x14ac:dyDescent="0.35">
      <c r="B60" s="32" t="s">
        <v>1043</v>
      </c>
      <c r="C60" s="2"/>
      <c r="D60" s="25"/>
      <c r="E60" s="35"/>
    </row>
    <row r="61" spans="2:5" ht="15" thickBot="1" x14ac:dyDescent="0.35">
      <c r="B61" s="32" t="s">
        <v>1044</v>
      </c>
      <c r="C61" s="2"/>
      <c r="D61" s="25"/>
      <c r="E61" s="35"/>
    </row>
    <row r="62" spans="2:5" ht="15" thickBot="1" x14ac:dyDescent="0.35">
      <c r="B62" s="32" t="s">
        <v>1045</v>
      </c>
      <c r="C62" s="2"/>
      <c r="D62" s="25"/>
      <c r="E62" s="35"/>
    </row>
    <row r="63" spans="2:5" ht="15" thickBot="1" x14ac:dyDescent="0.35">
      <c r="B63" s="32" t="s">
        <v>1046</v>
      </c>
      <c r="C63" s="2"/>
      <c r="D63" s="25"/>
      <c r="E63" s="35"/>
    </row>
    <row r="64" spans="2:5" ht="15" thickBot="1" x14ac:dyDescent="0.35">
      <c r="B64" s="32" t="s">
        <v>1047</v>
      </c>
      <c r="C64" s="2"/>
      <c r="D64" s="25"/>
      <c r="E64" s="35"/>
    </row>
    <row r="65" spans="2:5" ht="15" thickBot="1" x14ac:dyDescent="0.35">
      <c r="B65" s="32" t="s">
        <v>1048</v>
      </c>
      <c r="C65" s="2"/>
      <c r="D65" s="25"/>
      <c r="E65" s="35"/>
    </row>
    <row r="66" spans="2:5" ht="15" thickBot="1" x14ac:dyDescent="0.35">
      <c r="B66" s="32" t="s">
        <v>1049</v>
      </c>
      <c r="C66" s="2"/>
      <c r="D66" s="25"/>
      <c r="E66" s="35"/>
    </row>
    <row r="67" spans="2:5" ht="15" thickBot="1" x14ac:dyDescent="0.35">
      <c r="B67" s="32" t="s">
        <v>1050</v>
      </c>
      <c r="C67" s="2"/>
      <c r="D67" s="25"/>
      <c r="E67" s="35"/>
    </row>
    <row r="68" spans="2:5" ht="15" thickBot="1" x14ac:dyDescent="0.35">
      <c r="B68" s="32" t="s">
        <v>1051</v>
      </c>
      <c r="C68" s="2"/>
      <c r="D68" s="25"/>
      <c r="E68" s="35"/>
    </row>
    <row r="69" spans="2:5" ht="15" thickBot="1" x14ac:dyDescent="0.35">
      <c r="B69" s="32" t="s">
        <v>1052</v>
      </c>
      <c r="C69" s="2"/>
      <c r="D69" s="25"/>
      <c r="E69" s="35"/>
    </row>
    <row r="70" spans="2:5" ht="15" thickBot="1" x14ac:dyDescent="0.35">
      <c r="B70" s="32" t="s">
        <v>1053</v>
      </c>
      <c r="C70" s="2"/>
      <c r="D70" s="25"/>
      <c r="E70" s="35"/>
    </row>
    <row r="71" spans="2:5" ht="15" thickBot="1" x14ac:dyDescent="0.35">
      <c r="B71" s="32" t="s">
        <v>1054</v>
      </c>
      <c r="C71" s="4" t="s">
        <v>1055</v>
      </c>
      <c r="D71" s="25" t="s">
        <v>49</v>
      </c>
      <c r="E71" s="35" t="s">
        <v>27</v>
      </c>
    </row>
    <row r="72" spans="2:5" ht="15" thickBot="1" x14ac:dyDescent="0.35">
      <c r="B72" s="32" t="s">
        <v>1056</v>
      </c>
      <c r="C72" s="2"/>
      <c r="D72" s="25"/>
      <c r="E72" s="35"/>
    </row>
    <row r="73" spans="2:5" ht="15" thickBot="1" x14ac:dyDescent="0.35">
      <c r="B73" s="32" t="s">
        <v>1057</v>
      </c>
      <c r="C73" s="2"/>
      <c r="D73" s="25"/>
      <c r="E73" s="35"/>
    </row>
    <row r="74" spans="2:5" ht="15" thickBot="1" x14ac:dyDescent="0.35">
      <c r="B74" s="32" t="s">
        <v>1058</v>
      </c>
      <c r="C74" s="2"/>
      <c r="D74" s="25"/>
      <c r="E74" s="35"/>
    </row>
    <row r="75" spans="2:5" ht="15" thickBot="1" x14ac:dyDescent="0.35">
      <c r="B75" s="32" t="s">
        <v>1059</v>
      </c>
      <c r="C75" s="2"/>
      <c r="D75" s="25"/>
      <c r="E75" s="35"/>
    </row>
    <row r="76" spans="2:5" ht="15" thickBot="1" x14ac:dyDescent="0.35">
      <c r="B76" s="32" t="s">
        <v>1060</v>
      </c>
      <c r="C76" s="2"/>
      <c r="D76" s="25"/>
      <c r="E76" s="35"/>
    </row>
    <row r="77" spans="2:5" ht="15" thickBot="1" x14ac:dyDescent="0.35">
      <c r="B77" s="32" t="s">
        <v>1061</v>
      </c>
      <c r="C77" s="2"/>
      <c r="D77" s="25"/>
      <c r="E77" s="35"/>
    </row>
    <row r="78" spans="2:5" ht="15" thickBot="1" x14ac:dyDescent="0.35">
      <c r="B78" s="32" t="s">
        <v>1062</v>
      </c>
      <c r="C78" s="2"/>
      <c r="D78" s="25"/>
      <c r="E78" s="35"/>
    </row>
    <row r="79" spans="2:5" ht="15" thickBot="1" x14ac:dyDescent="0.35">
      <c r="B79" s="32" t="s">
        <v>1063</v>
      </c>
      <c r="C79" s="2"/>
      <c r="D79" s="25"/>
      <c r="E79" s="35"/>
    </row>
    <row r="80" spans="2:5" ht="15" thickBot="1" x14ac:dyDescent="0.35">
      <c r="B80" s="32" t="s">
        <v>1064</v>
      </c>
      <c r="C80" s="2"/>
      <c r="D80" s="25"/>
      <c r="E80" s="35"/>
    </row>
    <row r="81" spans="2:5" ht="15" thickBot="1" x14ac:dyDescent="0.35">
      <c r="B81" s="32" t="s">
        <v>1065</v>
      </c>
      <c r="C81" s="2"/>
      <c r="D81" s="25"/>
      <c r="E81" s="35"/>
    </row>
    <row r="82" spans="2:5" ht="15" thickBot="1" x14ac:dyDescent="0.35">
      <c r="B82" s="32" t="s">
        <v>1066</v>
      </c>
      <c r="C82" s="2"/>
      <c r="D82" s="25"/>
      <c r="E82" s="35"/>
    </row>
    <row r="83" spans="2:5" ht="15" thickBot="1" x14ac:dyDescent="0.35">
      <c r="B83" s="32" t="s">
        <v>1067</v>
      </c>
      <c r="C83" s="2"/>
      <c r="D83" s="25"/>
      <c r="E83" s="35"/>
    </row>
    <row r="84" spans="2:5" ht="15" thickBot="1" x14ac:dyDescent="0.35">
      <c r="B84" s="32" t="s">
        <v>1068</v>
      </c>
      <c r="C84" s="2"/>
      <c r="D84" s="25"/>
      <c r="E84" s="35"/>
    </row>
    <row r="85" spans="2:5" ht="15" thickBot="1" x14ac:dyDescent="0.35">
      <c r="B85" s="32" t="s">
        <v>1069</v>
      </c>
      <c r="C85" s="2"/>
      <c r="D85" s="25"/>
      <c r="E85" s="35"/>
    </row>
    <row r="86" spans="2:5" ht="15" thickBot="1" x14ac:dyDescent="0.35">
      <c r="B86" s="32" t="s">
        <v>1070</v>
      </c>
      <c r="C86" s="2"/>
      <c r="D86" s="25"/>
      <c r="E86" s="35"/>
    </row>
    <row r="87" spans="2:5" ht="15" thickBot="1" x14ac:dyDescent="0.35">
      <c r="B87" s="32" t="s">
        <v>1071</v>
      </c>
      <c r="C87" s="2"/>
      <c r="D87" s="25"/>
      <c r="E87" s="35"/>
    </row>
    <row r="88" spans="2:5" ht="15" thickBot="1" x14ac:dyDescent="0.35">
      <c r="B88" s="32" t="s">
        <v>1072</v>
      </c>
      <c r="C88" s="2"/>
      <c r="D88" s="25"/>
      <c r="E88" s="35"/>
    </row>
    <row r="89" spans="2:5" ht="15" thickBot="1" x14ac:dyDescent="0.35">
      <c r="B89" s="32" t="s">
        <v>1073</v>
      </c>
      <c r="C89" s="2"/>
      <c r="D89" s="25"/>
      <c r="E89" s="35"/>
    </row>
    <row r="90" spans="2:5" ht="15" thickBot="1" x14ac:dyDescent="0.35">
      <c r="B90" s="32" t="s">
        <v>1074</v>
      </c>
      <c r="C90" s="2"/>
      <c r="D90" s="25"/>
      <c r="E90" s="35"/>
    </row>
    <row r="91" spans="2:5" ht="15" thickBot="1" x14ac:dyDescent="0.35">
      <c r="B91" s="32" t="s">
        <v>1075</v>
      </c>
      <c r="C91" s="2"/>
      <c r="D91" s="25"/>
      <c r="E91" s="35"/>
    </row>
    <row r="92" spans="2:5" ht="15" thickBot="1" x14ac:dyDescent="0.35">
      <c r="B92" s="32" t="s">
        <v>1076</v>
      </c>
      <c r="C92" s="2"/>
      <c r="D92" s="25"/>
      <c r="E92" s="35"/>
    </row>
    <row r="93" spans="2:5" ht="15" thickBot="1" x14ac:dyDescent="0.35">
      <c r="B93" s="32" t="s">
        <v>1077</v>
      </c>
      <c r="C93" s="2"/>
      <c r="D93" s="25"/>
      <c r="E93" s="35"/>
    </row>
    <row r="94" spans="2:5" ht="15" thickBot="1" x14ac:dyDescent="0.35">
      <c r="B94" s="32" t="s">
        <v>1078</v>
      </c>
      <c r="C94" s="2"/>
      <c r="D94" s="25"/>
      <c r="E94" s="35"/>
    </row>
    <row r="95" spans="2:5" ht="15" thickBot="1" x14ac:dyDescent="0.35">
      <c r="B95" s="32" t="s">
        <v>1079</v>
      </c>
      <c r="C95" s="2"/>
      <c r="D95" s="25"/>
      <c r="E95" s="35"/>
    </row>
    <row r="96" spans="2:5" ht="15" thickBot="1" x14ac:dyDescent="0.35">
      <c r="B96" s="32" t="s">
        <v>1080</v>
      </c>
      <c r="C96" s="2"/>
      <c r="D96" s="25"/>
      <c r="E96" s="35"/>
    </row>
    <row r="97" spans="2:5" ht="15" thickBot="1" x14ac:dyDescent="0.35">
      <c r="B97" s="32" t="s">
        <v>1081</v>
      </c>
      <c r="C97" s="2"/>
      <c r="D97" s="25"/>
      <c r="E97" s="35"/>
    </row>
    <row r="98" spans="2:5" ht="15" thickBot="1" x14ac:dyDescent="0.35">
      <c r="B98" s="32" t="s">
        <v>1082</v>
      </c>
      <c r="C98" s="2"/>
      <c r="D98" s="25"/>
      <c r="E98" s="35"/>
    </row>
    <row r="99" spans="2:5" ht="15" thickBot="1" x14ac:dyDescent="0.35">
      <c r="B99" s="32" t="s">
        <v>1083</v>
      </c>
      <c r="C99" s="2"/>
      <c r="D99" s="25"/>
      <c r="E99" s="35"/>
    </row>
    <row r="100" spans="2:5" ht="15" thickBot="1" x14ac:dyDescent="0.35">
      <c r="B100" s="32" t="s">
        <v>1084</v>
      </c>
      <c r="C100" s="2"/>
      <c r="D100" s="25"/>
      <c r="E100" s="35"/>
    </row>
    <row r="101" spans="2:5" ht="15" thickBot="1" x14ac:dyDescent="0.35">
      <c r="B101" s="32" t="s">
        <v>1085</v>
      </c>
      <c r="C101" s="2"/>
      <c r="D101" s="25"/>
      <c r="E101" s="35"/>
    </row>
    <row r="102" spans="2:5" ht="15" thickBot="1" x14ac:dyDescent="0.35">
      <c r="B102" s="32" t="s">
        <v>1086</v>
      </c>
      <c r="C102" s="2"/>
      <c r="D102" s="25"/>
      <c r="E102" s="35"/>
    </row>
    <row r="103" spans="2:5" ht="15" thickBot="1" x14ac:dyDescent="0.35">
      <c r="B103" s="32" t="s">
        <v>1087</v>
      </c>
      <c r="C103" s="2"/>
      <c r="D103" s="25"/>
      <c r="E103" s="35"/>
    </row>
    <row r="104" spans="2:5" ht="15" thickBot="1" x14ac:dyDescent="0.35">
      <c r="B104" s="32" t="s">
        <v>1088</v>
      </c>
      <c r="C104" s="2"/>
      <c r="D104" s="25"/>
      <c r="E104" s="37"/>
    </row>
    <row r="105" spans="2:5" ht="15" thickBot="1" x14ac:dyDescent="0.35">
      <c r="B105" s="32" t="s">
        <v>1089</v>
      </c>
      <c r="C105" s="2"/>
      <c r="D105" s="25"/>
      <c r="E105" s="35"/>
    </row>
    <row r="106" spans="2:5" ht="15" thickBot="1" x14ac:dyDescent="0.35">
      <c r="B106" s="32" t="s">
        <v>1090</v>
      </c>
      <c r="C106" s="2"/>
      <c r="D106" s="25"/>
      <c r="E106" s="35"/>
    </row>
    <row r="107" spans="2:5" ht="15" thickBot="1" x14ac:dyDescent="0.35">
      <c r="B107" s="32" t="s">
        <v>1091</v>
      </c>
      <c r="C107" s="2"/>
      <c r="D107" s="25"/>
      <c r="E107" s="35"/>
    </row>
    <row r="108" spans="2:5" ht="15" thickBot="1" x14ac:dyDescent="0.35">
      <c r="B108" s="32" t="s">
        <v>1092</v>
      </c>
      <c r="C108" s="2"/>
      <c r="D108" s="25"/>
      <c r="E108" s="35"/>
    </row>
    <row r="109" spans="2:5" ht="15" thickBot="1" x14ac:dyDescent="0.35">
      <c r="B109" s="32" t="s">
        <v>1093</v>
      </c>
      <c r="C109" s="2"/>
      <c r="D109" s="25"/>
      <c r="E109" s="35"/>
    </row>
    <row r="110" spans="2:5" ht="15" thickBot="1" x14ac:dyDescent="0.35">
      <c r="B110" s="32" t="s">
        <v>1094</v>
      </c>
      <c r="C110" s="2"/>
      <c r="D110" s="25"/>
      <c r="E110" s="35"/>
    </row>
    <row r="111" spans="2:5" ht="15" thickBot="1" x14ac:dyDescent="0.35">
      <c r="B111" s="32" t="s">
        <v>1095</v>
      </c>
      <c r="C111" s="2"/>
      <c r="D111" s="25"/>
      <c r="E111" s="35"/>
    </row>
    <row r="112" spans="2:5" ht="15" thickBot="1" x14ac:dyDescent="0.35">
      <c r="B112" s="32" t="s">
        <v>1096</v>
      </c>
      <c r="C112" s="2"/>
      <c r="D112" s="25"/>
      <c r="E112" s="35"/>
    </row>
    <row r="113" spans="2:5" ht="15" thickBot="1" x14ac:dyDescent="0.35">
      <c r="B113" s="32" t="s">
        <v>1097</v>
      </c>
      <c r="C113" s="2"/>
      <c r="D113" s="25"/>
      <c r="E113" s="35"/>
    </row>
    <row r="114" spans="2:5" ht="15" thickBot="1" x14ac:dyDescent="0.35">
      <c r="B114" s="32" t="s">
        <v>1098</v>
      </c>
      <c r="C114" s="2"/>
      <c r="D114" s="25"/>
      <c r="E114" s="35"/>
    </row>
    <row r="115" spans="2:5" ht="15" thickBot="1" x14ac:dyDescent="0.35">
      <c r="B115" s="32" t="s">
        <v>1099</v>
      </c>
      <c r="C115" s="2"/>
      <c r="D115" s="25"/>
      <c r="E115" s="35"/>
    </row>
    <row r="116" spans="2:5" ht="15" thickBot="1" x14ac:dyDescent="0.35">
      <c r="B116" s="32" t="s">
        <v>1100</v>
      </c>
      <c r="C116" s="2"/>
      <c r="D116" s="25"/>
      <c r="E116" s="35"/>
    </row>
    <row r="117" spans="2:5" ht="15" thickBot="1" x14ac:dyDescent="0.35">
      <c r="B117" s="32" t="s">
        <v>1101</v>
      </c>
      <c r="C117" s="2"/>
      <c r="D117" s="25"/>
      <c r="E117" s="35"/>
    </row>
    <row r="118" spans="2:5" ht="15" thickBot="1" x14ac:dyDescent="0.35">
      <c r="B118" s="32" t="s">
        <v>1102</v>
      </c>
      <c r="C118" s="2"/>
      <c r="D118" s="25"/>
      <c r="E118" s="35"/>
    </row>
    <row r="119" spans="2:5" ht="15" thickBot="1" x14ac:dyDescent="0.35">
      <c r="B119" s="32" t="s">
        <v>1103</v>
      </c>
      <c r="C119" s="2"/>
      <c r="D119" s="25"/>
      <c r="E119" s="35"/>
    </row>
    <row r="120" spans="2:5" ht="15" thickBot="1" x14ac:dyDescent="0.35">
      <c r="B120" s="32" t="s">
        <v>1104</v>
      </c>
      <c r="C120" s="2"/>
      <c r="D120" s="25"/>
      <c r="E120" s="35"/>
    </row>
    <row r="121" spans="2:5" ht="15" thickBot="1" x14ac:dyDescent="0.35">
      <c r="B121" s="32" t="s">
        <v>1105</v>
      </c>
      <c r="C121" s="2"/>
      <c r="D121" s="25"/>
      <c r="E121" s="35"/>
    </row>
    <row r="122" spans="2:5" ht="15" thickBot="1" x14ac:dyDescent="0.35">
      <c r="B122" s="32" t="s">
        <v>1106</v>
      </c>
      <c r="C122" s="2"/>
      <c r="D122" s="25"/>
      <c r="E122" s="35"/>
    </row>
    <row r="123" spans="2:5" ht="15" thickBot="1" x14ac:dyDescent="0.35">
      <c r="B123" s="32" t="s">
        <v>1107</v>
      </c>
      <c r="C123" s="2"/>
      <c r="D123" s="25"/>
      <c r="E123" s="35"/>
    </row>
    <row r="124" spans="2:5" ht="15" thickBot="1" x14ac:dyDescent="0.35">
      <c r="B124" s="32" t="s">
        <v>1108</v>
      </c>
      <c r="C124" s="2"/>
      <c r="D124" s="25"/>
      <c r="E124" s="35"/>
    </row>
    <row r="125" spans="2:5" ht="15" thickBot="1" x14ac:dyDescent="0.35">
      <c r="B125" s="32" t="s">
        <v>1109</v>
      </c>
      <c r="C125" s="2"/>
      <c r="D125" s="25"/>
      <c r="E125" s="35"/>
    </row>
    <row r="126" spans="2:5" ht="15" thickBot="1" x14ac:dyDescent="0.35">
      <c r="B126" s="32" t="s">
        <v>1110</v>
      </c>
      <c r="C126" s="2"/>
      <c r="D126" s="25"/>
      <c r="E126" s="35"/>
    </row>
    <row r="127" spans="2:5" ht="15" thickBot="1" x14ac:dyDescent="0.35">
      <c r="B127" s="32" t="s">
        <v>1111</v>
      </c>
      <c r="C127" s="2"/>
      <c r="D127" s="25"/>
      <c r="E127" s="35"/>
    </row>
    <row r="128" spans="2:5" ht="15" thickBot="1" x14ac:dyDescent="0.35">
      <c r="B128" s="32" t="s">
        <v>1112</v>
      </c>
      <c r="C128" s="2"/>
      <c r="D128" s="25"/>
      <c r="E128" s="35"/>
    </row>
    <row r="129" spans="2:5" ht="15" thickBot="1" x14ac:dyDescent="0.35">
      <c r="B129" s="32" t="s">
        <v>1113</v>
      </c>
      <c r="C129" s="2"/>
      <c r="D129" s="25"/>
      <c r="E129" s="35"/>
    </row>
    <row r="130" spans="2:5" ht="15" thickBot="1" x14ac:dyDescent="0.35">
      <c r="B130" s="32" t="s">
        <v>1114</v>
      </c>
      <c r="C130" s="2"/>
      <c r="D130" s="25"/>
      <c r="E130" s="35"/>
    </row>
    <row r="131" spans="2:5" ht="15" thickBot="1" x14ac:dyDescent="0.35">
      <c r="B131" s="32" t="s">
        <v>1115</v>
      </c>
      <c r="C131" s="2"/>
      <c r="D131" s="25"/>
      <c r="E131" s="35"/>
    </row>
    <row r="132" spans="2:5" ht="15" thickBot="1" x14ac:dyDescent="0.35">
      <c r="B132" s="32" t="s">
        <v>1116</v>
      </c>
      <c r="C132" s="2"/>
      <c r="D132" s="25"/>
      <c r="E132" s="35"/>
    </row>
    <row r="133" spans="2:5" ht="15" thickBot="1" x14ac:dyDescent="0.35">
      <c r="B133" s="32" t="s">
        <v>1117</v>
      </c>
      <c r="C133" s="2"/>
      <c r="D133" s="25"/>
      <c r="E133" s="35"/>
    </row>
    <row r="134" spans="2:5" ht="15" thickBot="1" x14ac:dyDescent="0.35">
      <c r="B134" s="32" t="s">
        <v>1118</v>
      </c>
      <c r="C134" s="2"/>
      <c r="D134" s="25"/>
      <c r="E134" s="35"/>
    </row>
    <row r="135" spans="2:5" ht="15" thickBot="1" x14ac:dyDescent="0.35">
      <c r="B135" s="32" t="s">
        <v>1119</v>
      </c>
      <c r="C135" s="2"/>
      <c r="D135" s="25"/>
      <c r="E135" s="35"/>
    </row>
    <row r="136" spans="2:5" ht="15" thickBot="1" x14ac:dyDescent="0.35">
      <c r="B136" s="32" t="s">
        <v>1120</v>
      </c>
      <c r="C136" s="2"/>
      <c r="D136" s="25"/>
      <c r="E136" s="35"/>
    </row>
    <row r="137" spans="2:5" ht="15" thickBot="1" x14ac:dyDescent="0.35">
      <c r="B137" s="32" t="s">
        <v>1121</v>
      </c>
      <c r="C137" s="2"/>
      <c r="D137" s="25"/>
      <c r="E137" s="35"/>
    </row>
    <row r="138" spans="2:5" ht="15" thickBot="1" x14ac:dyDescent="0.35">
      <c r="B138" s="32" t="s">
        <v>1122</v>
      </c>
      <c r="C138" s="2"/>
      <c r="D138" s="25"/>
      <c r="E138" s="35"/>
    </row>
    <row r="139" spans="2:5" ht="15" thickBot="1" x14ac:dyDescent="0.35">
      <c r="B139" s="32" t="s">
        <v>1123</v>
      </c>
      <c r="C139" s="2"/>
      <c r="D139" s="25"/>
      <c r="E139" s="35"/>
    </row>
    <row r="140" spans="2:5" ht="15" thickBot="1" x14ac:dyDescent="0.35">
      <c r="B140" s="32" t="s">
        <v>1124</v>
      </c>
      <c r="C140" s="2"/>
      <c r="D140" s="25"/>
      <c r="E140" s="50"/>
    </row>
    <row r="141" spans="2:5" ht="15" thickBot="1" x14ac:dyDescent="0.35">
      <c r="B141" s="32" t="s">
        <v>1125</v>
      </c>
      <c r="C141" s="2"/>
      <c r="D141" s="25"/>
      <c r="E141" s="35"/>
    </row>
    <row r="142" spans="2:5" ht="15" thickBot="1" x14ac:dyDescent="0.35">
      <c r="B142" s="32" t="s">
        <v>1126</v>
      </c>
      <c r="C142" s="2"/>
      <c r="D142" s="25"/>
      <c r="E142" s="35"/>
    </row>
    <row r="143" spans="2:5" ht="15" thickBot="1" x14ac:dyDescent="0.35">
      <c r="B143" s="32" t="s">
        <v>1127</v>
      </c>
      <c r="C143" s="2"/>
      <c r="D143" s="25"/>
      <c r="E143" s="35"/>
    </row>
    <row r="144" spans="2:5" ht="15" thickBot="1" x14ac:dyDescent="0.35">
      <c r="B144" s="32" t="s">
        <v>1128</v>
      </c>
      <c r="C144" s="2"/>
      <c r="D144" s="25"/>
      <c r="E144" s="35"/>
    </row>
    <row r="145" spans="2:5" ht="15" thickBot="1" x14ac:dyDescent="0.35">
      <c r="B145" s="32" t="s">
        <v>1129</v>
      </c>
      <c r="C145" s="2"/>
      <c r="D145" s="25"/>
      <c r="E145" s="35"/>
    </row>
    <row r="146" spans="2:5" ht="15" thickBot="1" x14ac:dyDescent="0.35">
      <c r="B146" s="32" t="s">
        <v>1130</v>
      </c>
      <c r="C146" s="2"/>
      <c r="D146" s="25"/>
      <c r="E146" s="35"/>
    </row>
    <row r="147" spans="2:5" ht="15" thickBot="1" x14ac:dyDescent="0.35">
      <c r="B147" s="32" t="s">
        <v>1131</v>
      </c>
      <c r="C147" s="2"/>
      <c r="D147" s="25"/>
      <c r="E147" s="35"/>
    </row>
    <row r="148" spans="2:5" ht="15" thickBot="1" x14ac:dyDescent="0.35">
      <c r="B148" s="32" t="s">
        <v>1132</v>
      </c>
      <c r="C148" s="2"/>
      <c r="D148" s="25"/>
      <c r="E148" s="35"/>
    </row>
    <row r="149" spans="2:5" ht="15" thickBot="1" x14ac:dyDescent="0.35">
      <c r="B149" s="32" t="s">
        <v>1133</v>
      </c>
      <c r="C149" s="2"/>
      <c r="D149" s="25"/>
      <c r="E149" s="35"/>
    </row>
    <row r="150" spans="2:5" ht="15" thickBot="1" x14ac:dyDescent="0.35">
      <c r="B150" s="32" t="s">
        <v>1134</v>
      </c>
      <c r="C150" s="2"/>
      <c r="D150" s="25"/>
      <c r="E150" s="35"/>
    </row>
    <row r="151" spans="2:5" ht="15" thickBot="1" x14ac:dyDescent="0.35">
      <c r="B151" s="32" t="s">
        <v>1135</v>
      </c>
      <c r="C151" s="2"/>
      <c r="D151" s="25"/>
      <c r="E151" s="35"/>
    </row>
    <row r="152" spans="2:5" ht="15" thickBot="1" x14ac:dyDescent="0.35">
      <c r="B152" s="32" t="s">
        <v>1136</v>
      </c>
      <c r="C152" s="2"/>
      <c r="D152" s="25"/>
      <c r="E152" s="35"/>
    </row>
    <row r="153" spans="2:5" ht="15" thickBot="1" x14ac:dyDescent="0.35">
      <c r="B153" s="32" t="s">
        <v>1137</v>
      </c>
      <c r="C153" s="2"/>
      <c r="D153" s="25"/>
      <c r="E153" s="35"/>
    </row>
    <row r="154" spans="2:5" ht="15" thickBot="1" x14ac:dyDescent="0.35">
      <c r="B154" s="32" t="s">
        <v>1138</v>
      </c>
      <c r="C154" s="2"/>
      <c r="D154" s="25"/>
      <c r="E154" s="35"/>
    </row>
    <row r="155" spans="2:5" ht="15" thickBot="1" x14ac:dyDescent="0.35">
      <c r="B155" s="32" t="s">
        <v>1139</v>
      </c>
      <c r="C155" s="2"/>
      <c r="D155" s="25"/>
      <c r="E155" s="35"/>
    </row>
    <row r="156" spans="2:5" ht="15" thickBot="1" x14ac:dyDescent="0.35">
      <c r="B156" s="32" t="s">
        <v>1140</v>
      </c>
      <c r="C156" s="2"/>
      <c r="D156" s="25"/>
      <c r="E156" s="35"/>
    </row>
    <row r="157" spans="2:5" ht="15" thickBot="1" x14ac:dyDescent="0.35">
      <c r="B157" s="32" t="s">
        <v>1141</v>
      </c>
      <c r="C157" s="2"/>
      <c r="D157" s="25"/>
      <c r="E157" s="35"/>
    </row>
    <row r="158" spans="2:5" ht="15" thickBot="1" x14ac:dyDescent="0.35">
      <c r="B158" s="32" t="s">
        <v>1142</v>
      </c>
      <c r="C158" s="4"/>
      <c r="D158" s="25"/>
      <c r="E158" s="35"/>
    </row>
    <row r="159" spans="2:5" ht="15" thickBot="1" x14ac:dyDescent="0.35">
      <c r="B159" s="32" t="s">
        <v>1143</v>
      </c>
      <c r="C159" s="2"/>
      <c r="D159" s="25"/>
      <c r="E159" s="35"/>
    </row>
    <row r="160" spans="2:5" ht="15" thickBot="1" x14ac:dyDescent="0.35">
      <c r="B160" s="32" t="s">
        <v>1144</v>
      </c>
      <c r="C160" s="2"/>
      <c r="D160" s="25"/>
      <c r="E160" s="35"/>
    </row>
    <row r="161" spans="2:5" ht="15" thickBot="1" x14ac:dyDescent="0.35">
      <c r="B161" s="32" t="s">
        <v>1145</v>
      </c>
      <c r="C161" s="2"/>
      <c r="D161" s="25"/>
      <c r="E161" s="35"/>
    </row>
    <row r="162" spans="2:5" ht="15" thickBot="1" x14ac:dyDescent="0.35">
      <c r="B162" s="32" t="s">
        <v>1146</v>
      </c>
      <c r="C162" s="2"/>
      <c r="D162" s="25"/>
      <c r="E162" s="35"/>
    </row>
    <row r="163" spans="2:5" ht="15" thickBot="1" x14ac:dyDescent="0.35">
      <c r="B163" s="32" t="s">
        <v>1147</v>
      </c>
      <c r="C163" s="2"/>
      <c r="D163" s="25"/>
      <c r="E163" s="35"/>
    </row>
    <row r="164" spans="2:5" ht="15" thickBot="1" x14ac:dyDescent="0.35">
      <c r="B164" s="32" t="s">
        <v>1148</v>
      </c>
      <c r="C164" s="2"/>
      <c r="D164" s="25"/>
      <c r="E164" s="35"/>
    </row>
    <row r="165" spans="2:5" ht="15" thickBot="1" x14ac:dyDescent="0.35">
      <c r="B165" s="32" t="s">
        <v>1149</v>
      </c>
      <c r="C165" s="2"/>
      <c r="D165" s="25"/>
      <c r="E165" s="35"/>
    </row>
    <row r="166" spans="2:5" ht="15" thickBot="1" x14ac:dyDescent="0.35">
      <c r="B166" s="32" t="s">
        <v>1150</v>
      </c>
      <c r="C166" s="2"/>
      <c r="D166" s="25"/>
      <c r="E166" s="35"/>
    </row>
    <row r="167" spans="2:5" ht="15" thickBot="1" x14ac:dyDescent="0.35">
      <c r="B167" s="32" t="s">
        <v>1151</v>
      </c>
      <c r="C167" s="2"/>
      <c r="D167" s="25"/>
      <c r="E167" s="35"/>
    </row>
    <row r="168" spans="2:5" ht="15" thickBot="1" x14ac:dyDescent="0.35">
      <c r="B168" s="32" t="s">
        <v>1152</v>
      </c>
      <c r="C168" s="2"/>
      <c r="D168" s="25"/>
      <c r="E168" s="35"/>
    </row>
    <row r="169" spans="2:5" ht="15" thickBot="1" x14ac:dyDescent="0.35">
      <c r="B169" s="32" t="s">
        <v>1153</v>
      </c>
      <c r="C169" s="2"/>
      <c r="D169" s="25"/>
      <c r="E169" s="35"/>
    </row>
    <row r="170" spans="2:5" ht="15" thickBot="1" x14ac:dyDescent="0.35">
      <c r="B170" s="32" t="s">
        <v>1154</v>
      </c>
      <c r="C170" s="2"/>
      <c r="D170" s="25"/>
      <c r="E170" s="35"/>
    </row>
    <row r="171" spans="2:5" ht="15" thickBot="1" x14ac:dyDescent="0.35">
      <c r="B171" s="32" t="s">
        <v>1155</v>
      </c>
      <c r="C171" s="2"/>
      <c r="D171" s="25"/>
      <c r="E171" s="35"/>
    </row>
    <row r="172" spans="2:5" ht="15" thickBot="1" x14ac:dyDescent="0.35">
      <c r="B172" s="32" t="s">
        <v>1156</v>
      </c>
      <c r="C172" s="2"/>
      <c r="D172" s="25"/>
      <c r="E172" s="35"/>
    </row>
    <row r="173" spans="2:5" ht="15" thickBot="1" x14ac:dyDescent="0.35">
      <c r="B173" s="32" t="s">
        <v>1157</v>
      </c>
      <c r="C173" s="2"/>
      <c r="D173" s="25"/>
      <c r="E173" s="35"/>
    </row>
    <row r="174" spans="2:5" ht="15" thickBot="1" x14ac:dyDescent="0.35">
      <c r="B174" s="32" t="s">
        <v>1158</v>
      </c>
      <c r="C174" s="2"/>
      <c r="D174" s="25"/>
      <c r="E174" s="35"/>
    </row>
    <row r="175" spans="2:5" ht="15" thickBot="1" x14ac:dyDescent="0.35">
      <c r="B175" s="32" t="s">
        <v>1159</v>
      </c>
      <c r="C175" s="2"/>
      <c r="D175" s="25"/>
      <c r="E175" s="35"/>
    </row>
    <row r="176" spans="2:5" ht="15" thickBot="1" x14ac:dyDescent="0.35">
      <c r="B176" s="32" t="s">
        <v>1160</v>
      </c>
      <c r="C176" s="38"/>
      <c r="D176" s="25"/>
      <c r="E176" s="35"/>
    </row>
    <row r="177" spans="2:5" ht="15" thickBot="1" x14ac:dyDescent="0.35">
      <c r="B177" s="32" t="s">
        <v>1161</v>
      </c>
      <c r="C177" s="2"/>
      <c r="D177" s="25"/>
      <c r="E177" s="35"/>
    </row>
    <row r="178" spans="2:5" ht="15" thickBot="1" x14ac:dyDescent="0.35">
      <c r="B178" s="32" t="s">
        <v>1162</v>
      </c>
      <c r="C178" s="2"/>
      <c r="D178" s="25"/>
      <c r="E178" s="35"/>
    </row>
    <row r="179" spans="2:5" ht="15" thickBot="1" x14ac:dyDescent="0.35">
      <c r="B179" s="32" t="s">
        <v>1163</v>
      </c>
      <c r="C179" s="2"/>
      <c r="D179" s="25"/>
      <c r="E179" s="35"/>
    </row>
    <row r="180" spans="2:5" ht="15" thickBot="1" x14ac:dyDescent="0.35">
      <c r="B180" s="32" t="s">
        <v>1164</v>
      </c>
      <c r="C180" s="2"/>
      <c r="D180" s="25"/>
      <c r="E180" s="35"/>
    </row>
    <row r="181" spans="2:5" ht="15" thickBot="1" x14ac:dyDescent="0.35">
      <c r="B181" s="32" t="s">
        <v>1165</v>
      </c>
      <c r="C181" s="2"/>
      <c r="D181" s="25"/>
      <c r="E181" s="35"/>
    </row>
    <row r="182" spans="2:5" ht="15" thickBot="1" x14ac:dyDescent="0.35">
      <c r="B182" s="32" t="s">
        <v>1166</v>
      </c>
      <c r="C182" s="2"/>
      <c r="D182" s="25"/>
      <c r="E182" s="35"/>
    </row>
    <row r="183" spans="2:5" ht="15" thickBot="1" x14ac:dyDescent="0.35">
      <c r="B183" s="32" t="s">
        <v>1167</v>
      </c>
      <c r="C183" s="2"/>
      <c r="D183" s="25"/>
      <c r="E183" s="35"/>
    </row>
    <row r="184" spans="2:5" ht="15" thickBot="1" x14ac:dyDescent="0.35">
      <c r="B184" s="32" t="s">
        <v>1168</v>
      </c>
      <c r="C184" s="2"/>
      <c r="D184" s="25"/>
      <c r="E184" s="35"/>
    </row>
    <row r="185" spans="2:5" ht="15" thickBot="1" x14ac:dyDescent="0.35">
      <c r="B185" s="32" t="s">
        <v>1169</v>
      </c>
      <c r="C185" s="2"/>
      <c r="D185" s="25"/>
      <c r="E185" s="35"/>
    </row>
    <row r="186" spans="2:5" ht="15" thickBot="1" x14ac:dyDescent="0.35">
      <c r="B186" s="32" t="s">
        <v>1170</v>
      </c>
      <c r="C186" s="2"/>
      <c r="D186" s="25"/>
      <c r="E186" s="35"/>
    </row>
    <row r="187" spans="2:5" ht="15" thickBot="1" x14ac:dyDescent="0.35">
      <c r="B187" s="32" t="s">
        <v>1171</v>
      </c>
      <c r="C187" s="2"/>
      <c r="D187" s="25"/>
      <c r="E187" s="35"/>
    </row>
    <row r="188" spans="2:5" ht="15" thickBot="1" x14ac:dyDescent="0.35">
      <c r="B188" s="32" t="s">
        <v>1172</v>
      </c>
      <c r="C188" s="2"/>
      <c r="D188" s="25"/>
      <c r="E188" s="35"/>
    </row>
    <row r="189" spans="2:5" ht="15" thickBot="1" x14ac:dyDescent="0.35">
      <c r="B189" s="32" t="s">
        <v>1173</v>
      </c>
      <c r="C189" s="4"/>
      <c r="D189" s="25"/>
      <c r="E189" s="35"/>
    </row>
    <row r="190" spans="2:5" ht="15" thickBot="1" x14ac:dyDescent="0.35">
      <c r="B190" s="32" t="s">
        <v>1174</v>
      </c>
      <c r="C190" s="4"/>
      <c r="D190" s="25"/>
      <c r="E190" s="35"/>
    </row>
    <row r="191" spans="2:5" ht="15" thickBot="1" x14ac:dyDescent="0.35">
      <c r="B191" s="32" t="s">
        <v>1175</v>
      </c>
      <c r="C191" s="2"/>
      <c r="D191" s="25"/>
      <c r="E191" s="35"/>
    </row>
    <row r="192" spans="2:5" ht="15" thickBot="1" x14ac:dyDescent="0.35">
      <c r="B192" s="32" t="s">
        <v>1176</v>
      </c>
      <c r="C192" s="2"/>
      <c r="D192" s="25"/>
      <c r="E192" s="35"/>
    </row>
    <row r="193" spans="2:6" ht="15" thickBot="1" x14ac:dyDescent="0.35">
      <c r="B193" s="32" t="s">
        <v>1177</v>
      </c>
      <c r="C193" s="2"/>
      <c r="D193" s="25"/>
      <c r="E193" s="35"/>
    </row>
    <row r="194" spans="2:6" ht="15" thickBot="1" x14ac:dyDescent="0.35">
      <c r="B194" s="32" t="s">
        <v>1178</v>
      </c>
      <c r="C194" s="2"/>
      <c r="D194" s="25"/>
      <c r="E194" s="39"/>
    </row>
    <row r="195" spans="2:6" ht="15" thickBot="1" x14ac:dyDescent="0.35">
      <c r="B195" s="32" t="s">
        <v>1179</v>
      </c>
      <c r="C195" s="2"/>
      <c r="D195" s="25"/>
      <c r="E195" s="35"/>
    </row>
    <row r="196" spans="2:6" ht="15" thickBot="1" x14ac:dyDescent="0.35">
      <c r="B196" s="32" t="s">
        <v>1180</v>
      </c>
      <c r="C196" s="2"/>
      <c r="D196" s="25"/>
      <c r="E196" s="35"/>
    </row>
    <row r="197" spans="2:6" ht="15" thickBot="1" x14ac:dyDescent="0.35">
      <c r="B197" s="32" t="s">
        <v>1181</v>
      </c>
      <c r="C197" s="2"/>
      <c r="D197" s="25"/>
      <c r="E197" s="39"/>
    </row>
    <row r="198" spans="2:6" ht="15" thickBot="1" x14ac:dyDescent="0.35">
      <c r="B198" s="32" t="s">
        <v>1182</v>
      </c>
      <c r="C198" s="2"/>
      <c r="D198" s="25"/>
      <c r="E198" s="35"/>
    </row>
    <row r="199" spans="2:6" ht="15" thickBot="1" x14ac:dyDescent="0.35">
      <c r="B199" s="32" t="s">
        <v>1183</v>
      </c>
      <c r="C199" s="2"/>
      <c r="D199" s="25"/>
      <c r="E199" s="39"/>
    </row>
    <row r="200" spans="2:6" ht="15" thickBot="1" x14ac:dyDescent="0.35">
      <c r="B200" s="32" t="s">
        <v>1184</v>
      </c>
      <c r="C200" s="2"/>
      <c r="D200" s="25"/>
      <c r="E200" s="35"/>
    </row>
    <row r="201" spans="2:6" ht="15" thickBot="1" x14ac:dyDescent="0.35">
      <c r="B201" s="32" t="s">
        <v>1185</v>
      </c>
      <c r="C201" s="2"/>
      <c r="D201" s="25"/>
      <c r="E201" s="35"/>
    </row>
    <row r="202" spans="2:6" ht="15" thickBot="1" x14ac:dyDescent="0.35">
      <c r="B202" s="32" t="s">
        <v>1186</v>
      </c>
      <c r="C202" s="2"/>
      <c r="D202" s="25"/>
      <c r="E202" s="67"/>
      <c r="F202" s="92" t="s">
        <v>1187</v>
      </c>
    </row>
    <row r="203" spans="2:6" ht="15" thickBot="1" x14ac:dyDescent="0.35">
      <c r="B203" s="32" t="s">
        <v>1188</v>
      </c>
      <c r="C203" s="2"/>
      <c r="D203" s="25"/>
      <c r="E203" s="67"/>
      <c r="F203" s="93"/>
    </row>
    <row r="204" spans="2:6" ht="15" thickBot="1" x14ac:dyDescent="0.35">
      <c r="B204" s="32" t="s">
        <v>1189</v>
      </c>
      <c r="C204" s="2" t="s">
        <v>1190</v>
      </c>
      <c r="D204" s="25" t="s">
        <v>22</v>
      </c>
      <c r="E204" s="68" t="s">
        <v>58</v>
      </c>
      <c r="F204" s="93"/>
    </row>
    <row r="205" spans="2:6" ht="15" thickBot="1" x14ac:dyDescent="0.35">
      <c r="B205" s="32" t="s">
        <v>1191</v>
      </c>
      <c r="C205" s="2" t="s">
        <v>1190</v>
      </c>
      <c r="D205" s="25" t="s">
        <v>22</v>
      </c>
      <c r="E205" s="68" t="s">
        <v>58</v>
      </c>
      <c r="F205" s="93"/>
    </row>
    <row r="206" spans="2:6" ht="15" thickBot="1" x14ac:dyDescent="0.35">
      <c r="B206" s="32" t="s">
        <v>1192</v>
      </c>
      <c r="C206" s="2" t="s">
        <v>1190</v>
      </c>
      <c r="D206" s="25" t="s">
        <v>22</v>
      </c>
      <c r="E206" s="68" t="s">
        <v>58</v>
      </c>
      <c r="F206" s="93"/>
    </row>
    <row r="207" spans="2:6" ht="15" thickBot="1" x14ac:dyDescent="0.35">
      <c r="B207" s="32" t="s">
        <v>1193</v>
      </c>
      <c r="C207" s="2"/>
      <c r="D207" s="25"/>
      <c r="E207" s="67"/>
      <c r="F207" s="93"/>
    </row>
    <row r="208" spans="2:6" ht="15" thickBot="1" x14ac:dyDescent="0.35">
      <c r="B208" s="32" t="s">
        <v>1194</v>
      </c>
      <c r="C208" s="2"/>
      <c r="D208" s="25"/>
      <c r="E208" s="68"/>
      <c r="F208" s="93"/>
    </row>
    <row r="209" spans="2:6" ht="15" thickBot="1" x14ac:dyDescent="0.35">
      <c r="B209" s="32" t="s">
        <v>1195</v>
      </c>
      <c r="C209" s="2" t="s">
        <v>1190</v>
      </c>
      <c r="D209" s="25" t="s">
        <v>22</v>
      </c>
      <c r="E209" s="67" t="s">
        <v>58</v>
      </c>
      <c r="F209" s="93"/>
    </row>
    <row r="210" spans="2:6" ht="15" thickBot="1" x14ac:dyDescent="0.35">
      <c r="B210" s="32" t="s">
        <v>1196</v>
      </c>
      <c r="C210" s="2" t="s">
        <v>1190</v>
      </c>
      <c r="D210" s="25" t="s">
        <v>22</v>
      </c>
      <c r="E210" s="67" t="s">
        <v>58</v>
      </c>
      <c r="F210" s="93"/>
    </row>
    <row r="211" spans="2:6" ht="15" thickBot="1" x14ac:dyDescent="0.35">
      <c r="B211" s="32" t="s">
        <v>1197</v>
      </c>
      <c r="C211" s="4"/>
      <c r="D211" s="27"/>
      <c r="E211" s="67"/>
      <c r="F211" s="93"/>
    </row>
    <row r="212" spans="2:6" ht="15" thickBot="1" x14ac:dyDescent="0.35">
      <c r="B212" s="32" t="s">
        <v>1198</v>
      </c>
      <c r="C212" s="2" t="s">
        <v>1199</v>
      </c>
      <c r="D212" s="25" t="s">
        <v>24</v>
      </c>
      <c r="E212" s="67" t="s">
        <v>27</v>
      </c>
      <c r="F212" s="93"/>
    </row>
    <row r="213" spans="2:6" ht="15" thickBot="1" x14ac:dyDescent="0.35">
      <c r="B213" s="32" t="s">
        <v>1200</v>
      </c>
      <c r="C213" s="2"/>
      <c r="D213" s="25"/>
      <c r="E213" s="67"/>
      <c r="F213" s="93"/>
    </row>
    <row r="214" spans="2:6" ht="15" thickBot="1" x14ac:dyDescent="0.35">
      <c r="B214" s="32" t="s">
        <v>1201</v>
      </c>
      <c r="C214" s="4"/>
      <c r="D214" s="25"/>
      <c r="E214" s="67"/>
      <c r="F214" s="93"/>
    </row>
    <row r="215" spans="2:6" ht="15" thickBot="1" x14ac:dyDescent="0.35">
      <c r="B215" s="32" t="s">
        <v>1202</v>
      </c>
      <c r="C215" s="2"/>
      <c r="D215" s="25"/>
      <c r="E215" s="67"/>
      <c r="F215" s="93"/>
    </row>
    <row r="216" spans="2:6" ht="15" thickBot="1" x14ac:dyDescent="0.35">
      <c r="B216" s="32" t="s">
        <v>1203</v>
      </c>
      <c r="C216" s="2"/>
      <c r="D216" s="25"/>
      <c r="E216" s="67"/>
      <c r="F216" s="93"/>
    </row>
    <row r="217" spans="2:6" ht="15" thickBot="1" x14ac:dyDescent="0.35">
      <c r="B217" s="32" t="s">
        <v>1204</v>
      </c>
      <c r="C217" s="2"/>
      <c r="D217" s="25"/>
      <c r="E217" s="67"/>
      <c r="F217" s="93"/>
    </row>
    <row r="218" spans="2:6" ht="15" thickBot="1" x14ac:dyDescent="0.35">
      <c r="B218" s="32" t="s">
        <v>1205</v>
      </c>
      <c r="C218" s="2"/>
      <c r="D218" s="25"/>
      <c r="E218" s="67"/>
      <c r="F218" s="93"/>
    </row>
    <row r="219" spans="2:6" ht="15" thickBot="1" x14ac:dyDescent="0.35">
      <c r="B219" s="32" t="s">
        <v>1206</v>
      </c>
      <c r="C219" s="2"/>
      <c r="D219" s="25"/>
      <c r="E219" s="67"/>
      <c r="F219" s="93"/>
    </row>
    <row r="220" spans="2:6" ht="15" thickBot="1" x14ac:dyDescent="0.35">
      <c r="B220" s="32" t="s">
        <v>1207</v>
      </c>
      <c r="C220" s="2"/>
      <c r="D220" s="25"/>
      <c r="E220" s="67"/>
      <c r="F220" s="93"/>
    </row>
    <row r="221" spans="2:6" ht="15" thickBot="1" x14ac:dyDescent="0.35">
      <c r="B221" s="32" t="s">
        <v>1208</v>
      </c>
      <c r="C221" s="2"/>
      <c r="D221" s="25"/>
      <c r="E221" s="67"/>
      <c r="F221" s="93"/>
    </row>
    <row r="222" spans="2:6" ht="15" thickBot="1" x14ac:dyDescent="0.35">
      <c r="B222" s="32" t="s">
        <v>1209</v>
      </c>
      <c r="C222" s="2"/>
      <c r="D222" s="25"/>
      <c r="E222" s="67"/>
      <c r="F222" s="94"/>
    </row>
    <row r="223" spans="2:6" ht="15" thickBot="1" x14ac:dyDescent="0.35">
      <c r="B223" s="32" t="s">
        <v>1210</v>
      </c>
      <c r="C223" s="2"/>
      <c r="D223" s="25"/>
      <c r="E223" s="35"/>
    </row>
    <row r="224" spans="2:6" ht="15" thickBot="1" x14ac:dyDescent="0.35">
      <c r="B224" s="32" t="s">
        <v>1211</v>
      </c>
      <c r="C224" s="2"/>
      <c r="D224" s="25"/>
      <c r="E224" s="35"/>
    </row>
    <row r="225" spans="2:5" ht="15" thickBot="1" x14ac:dyDescent="0.35">
      <c r="B225" s="32" t="s">
        <v>1212</v>
      </c>
      <c r="C225" s="2"/>
      <c r="D225" s="25"/>
      <c r="E225" s="35"/>
    </row>
    <row r="226" spans="2:5" ht="15" thickBot="1" x14ac:dyDescent="0.35">
      <c r="B226" s="32" t="s">
        <v>1213</v>
      </c>
      <c r="C226" s="4"/>
      <c r="D226" s="27"/>
      <c r="E226" s="35"/>
    </row>
    <row r="227" spans="2:5" ht="15" thickBot="1" x14ac:dyDescent="0.35">
      <c r="B227" s="32" t="s">
        <v>1214</v>
      </c>
      <c r="C227" s="2"/>
      <c r="D227" s="25"/>
      <c r="E227" s="35"/>
    </row>
    <row r="228" spans="2:5" ht="15" thickBot="1" x14ac:dyDescent="0.35">
      <c r="B228" s="32" t="s">
        <v>1215</v>
      </c>
      <c r="C228" s="2"/>
      <c r="D228" s="25"/>
      <c r="E228" s="35"/>
    </row>
    <row r="229" spans="2:5" ht="15" thickBot="1" x14ac:dyDescent="0.35">
      <c r="B229" s="32" t="s">
        <v>1216</v>
      </c>
      <c r="C229" s="2"/>
      <c r="D229" s="25"/>
      <c r="E229" s="35"/>
    </row>
    <row r="230" spans="2:5" ht="15" thickBot="1" x14ac:dyDescent="0.35">
      <c r="B230" s="32" t="s">
        <v>1217</v>
      </c>
      <c r="C230" s="2"/>
      <c r="D230" s="25"/>
      <c r="E230" s="35"/>
    </row>
    <row r="231" spans="2:5" ht="15" thickBot="1" x14ac:dyDescent="0.35">
      <c r="B231" s="32" t="s">
        <v>1218</v>
      </c>
      <c r="C231" s="2"/>
      <c r="D231" s="25"/>
      <c r="E231" s="35"/>
    </row>
    <row r="232" spans="2:5" ht="15" thickBot="1" x14ac:dyDescent="0.35">
      <c r="B232" s="32" t="s">
        <v>1219</v>
      </c>
      <c r="C232" s="38"/>
      <c r="D232" s="25"/>
      <c r="E232" s="35"/>
    </row>
    <row r="233" spans="2:5" ht="15" thickBot="1" x14ac:dyDescent="0.35">
      <c r="B233" s="32" t="s">
        <v>1220</v>
      </c>
      <c r="C233" s="2"/>
      <c r="D233" s="25"/>
      <c r="E233" s="35"/>
    </row>
    <row r="234" spans="2:5" ht="15" thickBot="1" x14ac:dyDescent="0.35">
      <c r="B234" s="32" t="s">
        <v>1221</v>
      </c>
      <c r="C234" s="2"/>
      <c r="D234" s="25"/>
      <c r="E234" s="39"/>
    </row>
    <row r="235" spans="2:5" ht="15" thickBot="1" x14ac:dyDescent="0.35">
      <c r="B235" s="32" t="s">
        <v>1222</v>
      </c>
      <c r="C235" s="2"/>
      <c r="D235" s="25"/>
      <c r="E235" s="35"/>
    </row>
    <row r="236" spans="2:5" ht="15" thickBot="1" x14ac:dyDescent="0.35">
      <c r="B236" s="32" t="s">
        <v>1223</v>
      </c>
      <c r="C236" s="2"/>
      <c r="D236" s="25"/>
      <c r="E236" s="35"/>
    </row>
    <row r="237" spans="2:5" ht="15" thickBot="1" x14ac:dyDescent="0.35">
      <c r="B237" s="32" t="s">
        <v>1224</v>
      </c>
      <c r="C237" s="2"/>
      <c r="D237" s="25"/>
      <c r="E237" s="35"/>
    </row>
    <row r="238" spans="2:5" ht="15" thickBot="1" x14ac:dyDescent="0.35">
      <c r="B238" s="32" t="s">
        <v>1225</v>
      </c>
      <c r="C238" s="2"/>
      <c r="D238" s="25"/>
      <c r="E238" s="35"/>
    </row>
    <row r="239" spans="2:5" ht="15" thickBot="1" x14ac:dyDescent="0.35">
      <c r="B239" s="32" t="s">
        <v>1226</v>
      </c>
      <c r="C239" s="2"/>
      <c r="D239" s="25"/>
      <c r="E239" s="35"/>
    </row>
    <row r="240" spans="2:5" ht="15" thickBot="1" x14ac:dyDescent="0.35">
      <c r="B240" s="32" t="s">
        <v>1227</v>
      </c>
      <c r="C240" s="2"/>
      <c r="D240" s="25"/>
      <c r="E240" s="35"/>
    </row>
    <row r="241" spans="2:5" ht="15" thickBot="1" x14ac:dyDescent="0.35">
      <c r="B241" s="32" t="s">
        <v>1228</v>
      </c>
      <c r="C241" s="40"/>
      <c r="D241" s="25"/>
      <c r="E241" s="35"/>
    </row>
    <row r="242" spans="2:5" ht="15" thickBot="1" x14ac:dyDescent="0.35">
      <c r="B242" s="32" t="s">
        <v>1229</v>
      </c>
      <c r="C242" s="2"/>
      <c r="D242" s="25"/>
      <c r="E242" s="35"/>
    </row>
    <row r="243" spans="2:5" ht="15" thickBot="1" x14ac:dyDescent="0.35">
      <c r="B243" s="32" t="s">
        <v>1230</v>
      </c>
      <c r="C243" s="2"/>
      <c r="D243" s="25"/>
      <c r="E243" s="35"/>
    </row>
    <row r="244" spans="2:5" ht="15" thickBot="1" x14ac:dyDescent="0.35">
      <c r="B244" s="32" t="s">
        <v>1231</v>
      </c>
      <c r="C244" s="22"/>
      <c r="D244" s="28"/>
      <c r="E244" s="41"/>
    </row>
    <row r="245" spans="2:5" ht="15" thickBot="1" x14ac:dyDescent="0.35">
      <c r="B245" s="32" t="s">
        <v>1232</v>
      </c>
      <c r="C245" s="2"/>
      <c r="D245" s="25"/>
      <c r="E245" s="35"/>
    </row>
    <row r="246" spans="2:5" ht="15" thickBot="1" x14ac:dyDescent="0.35">
      <c r="B246" s="32" t="s">
        <v>1233</v>
      </c>
      <c r="C246" s="2"/>
      <c r="D246" s="25"/>
      <c r="E246" s="35"/>
    </row>
    <row r="247" spans="2:5" ht="15" thickBot="1" x14ac:dyDescent="0.35">
      <c r="B247" s="32" t="s">
        <v>1234</v>
      </c>
      <c r="C247" s="2"/>
      <c r="D247" s="25"/>
      <c r="E247" s="35"/>
    </row>
    <row r="248" spans="2:5" ht="15" thickBot="1" x14ac:dyDescent="0.35">
      <c r="B248" s="32" t="s">
        <v>1235</v>
      </c>
      <c r="C248" s="4"/>
      <c r="D248" s="25"/>
      <c r="E248" s="35"/>
    </row>
    <row r="249" spans="2:5" ht="15" thickBot="1" x14ac:dyDescent="0.35">
      <c r="B249" s="32" t="s">
        <v>1236</v>
      </c>
      <c r="C249" s="2"/>
      <c r="D249" s="25"/>
      <c r="E249" s="35"/>
    </row>
    <row r="250" spans="2:5" ht="15" thickBot="1" x14ac:dyDescent="0.35">
      <c r="B250" s="32" t="s">
        <v>1237</v>
      </c>
      <c r="C250" s="4"/>
      <c r="D250" s="25"/>
      <c r="E250" s="35"/>
    </row>
    <row r="251" spans="2:5" ht="15" thickBot="1" x14ac:dyDescent="0.35">
      <c r="B251" s="32" t="s">
        <v>1238</v>
      </c>
      <c r="C251" s="2"/>
      <c r="D251" s="25"/>
      <c r="E251" s="35"/>
    </row>
    <row r="252" spans="2:5" ht="15" thickBot="1" x14ac:dyDescent="0.35">
      <c r="B252" s="32" t="s">
        <v>1239</v>
      </c>
      <c r="C252" s="2"/>
      <c r="D252" s="25"/>
      <c r="E252" s="35"/>
    </row>
    <row r="253" spans="2:5" ht="15" thickBot="1" x14ac:dyDescent="0.35">
      <c r="B253" s="32" t="s">
        <v>1240</v>
      </c>
      <c r="C253" s="2"/>
      <c r="D253" s="25"/>
      <c r="E253" s="35"/>
    </row>
    <row r="254" spans="2:5" ht="15" thickBot="1" x14ac:dyDescent="0.35">
      <c r="B254" s="32" t="s">
        <v>1241</v>
      </c>
      <c r="C254" s="2"/>
      <c r="D254" s="25"/>
      <c r="E254" s="35"/>
    </row>
    <row r="255" spans="2:5" ht="15" thickBot="1" x14ac:dyDescent="0.35">
      <c r="B255" s="32" t="s">
        <v>1242</v>
      </c>
      <c r="C255" s="2"/>
      <c r="D255" s="25"/>
      <c r="E255" s="35"/>
    </row>
    <row r="256" spans="2:5" ht="15" thickBot="1" x14ac:dyDescent="0.35">
      <c r="B256" s="32" t="s">
        <v>1243</v>
      </c>
      <c r="C256" s="2"/>
      <c r="D256" s="25"/>
      <c r="E256" s="39"/>
    </row>
    <row r="257" spans="2:5" ht="15" thickBot="1" x14ac:dyDescent="0.35">
      <c r="B257" s="32" t="s">
        <v>1244</v>
      </c>
      <c r="C257" s="43" t="s">
        <v>449</v>
      </c>
      <c r="D257" s="44"/>
      <c r="E257" s="45"/>
    </row>
  </sheetData>
  <mergeCells count="1">
    <mergeCell ref="F202:F222"/>
  </mergeCells>
  <phoneticPr fontId="10" type="noConversion"/>
  <conditionalFormatting sqref="C2:C231 C233:C240 C242:C243 C244:E244 C245:C257">
    <cfRule type="containsText" dxfId="54" priority="29" operator="containsText" text="libre">
      <formula>NOT(ISERROR(SEARCH("libre",C2)))</formula>
    </cfRule>
  </conditionalFormatting>
  <conditionalFormatting sqref="D2:D3 D5:D7 D9:D243 E34 D245:D257">
    <cfRule type="cellIs" dxfId="53" priority="27" operator="equal">
      <formula>"USUARIO"</formula>
    </cfRule>
    <cfRule type="cellIs" dxfId="52" priority="28" operator="equal">
      <formula>"SERVIDOR"</formula>
    </cfRule>
  </conditionalFormatting>
  <conditionalFormatting sqref="D2:D243 E34 D245:D257">
    <cfRule type="containsText" dxfId="51" priority="20" operator="containsText" text="SENSOR ">
      <formula>NOT(ISERROR(SEARCH("SENSOR ",D2)))</formula>
    </cfRule>
    <cfRule type="containsText" dxfId="50" priority="21" operator="containsText" text="TELEFONO">
      <formula>NOT(ISERROR(SEARCH("TELEFONO",D2)))</formula>
    </cfRule>
    <cfRule type="containsText" dxfId="49" priority="22" operator="containsText" text="BOTONERA">
      <formula>NOT(ISERROR(SEARCH("BOTONERA",D2)))</formula>
    </cfRule>
    <cfRule type="containsText" dxfId="48" priority="23" operator="containsText" text="RELOJ TALANA">
      <formula>NOT(ISERROR(SEARCH("RELOJ TALANA",D2)))</formula>
    </cfRule>
    <cfRule type="containsText" dxfId="47" priority="24" operator="containsText" text="IMPRESORA">
      <formula>NOT(ISERROR(SEARCH("IMPRESORA",D2)))</formula>
    </cfRule>
    <cfRule type="containsText" dxfId="46" priority="25" operator="containsText" text="NUC">
      <formula>NOT(ISERROR(SEARCH("NUC",D2)))</formula>
    </cfRule>
  </conditionalFormatting>
  <conditionalFormatting sqref="D4:E4">
    <cfRule type="containsText" dxfId="45" priority="26" operator="containsText" text="libre">
      <formula>NOT(ISERROR(SEARCH("libre",D4)))</formula>
    </cfRule>
  </conditionalFormatting>
  <conditionalFormatting sqref="D8:E8">
    <cfRule type="containsText" dxfId="44" priority="13" operator="containsText" text="libre">
      <formula>NOT(ISERROR(SEARCH("libre",D8)))</formula>
    </cfRule>
  </conditionalFormatting>
  <conditionalFormatting sqref="E194">
    <cfRule type="containsText" dxfId="43" priority="18" operator="containsText" text="libre">
      <formula>NOT(ISERROR(SEARCH("libre",E194)))</formula>
    </cfRule>
  </conditionalFormatting>
  <conditionalFormatting sqref="E197">
    <cfRule type="containsText" dxfId="42" priority="17" operator="containsText" text="libre">
      <formula>NOT(ISERROR(SEARCH("libre",E197)))</formula>
    </cfRule>
  </conditionalFormatting>
  <conditionalFormatting sqref="E199">
    <cfRule type="containsText" dxfId="41" priority="16" operator="containsText" text="libre">
      <formula>NOT(ISERROR(SEARCH("libre",E199)))</formula>
    </cfRule>
  </conditionalFormatting>
  <conditionalFormatting sqref="E204:E206">
    <cfRule type="containsText" dxfId="40" priority="1" operator="containsText" text="libre">
      <formula>NOT(ISERROR(SEARCH("libre",E204)))</formula>
    </cfRule>
  </conditionalFormatting>
  <conditionalFormatting sqref="E208">
    <cfRule type="containsText" dxfId="39" priority="12" operator="containsText" text="libre">
      <formula>NOT(ISERROR(SEARCH("libre",E208)))</formula>
    </cfRule>
  </conditionalFormatting>
  <conditionalFormatting sqref="E234">
    <cfRule type="containsText" dxfId="38" priority="14" operator="containsText" text="libre">
      <formula>NOT(ISERROR(SEARCH("libre",E234)))</formula>
    </cfRule>
  </conditionalFormatting>
  <conditionalFormatting sqref="E256">
    <cfRule type="containsText" dxfId="37" priority="11" operator="containsText" text="libre">
      <formula>NOT(ISERROR(SEARCH("libre",E256)))</formula>
    </cfRule>
  </conditionalFormatting>
  <conditionalFormatting sqref="G4 G7:G12">
    <cfRule type="containsText" dxfId="36" priority="3" operator="containsText" text="SENSOR ">
      <formula>NOT(ISERROR(SEARCH("SENSOR ",G4)))</formula>
    </cfRule>
    <cfRule type="containsText" dxfId="35" priority="4" operator="containsText" text="TELEFONO">
      <formula>NOT(ISERROR(SEARCH("TELEFONO",G4)))</formula>
    </cfRule>
    <cfRule type="containsText" dxfId="34" priority="5" operator="containsText" text="BOTONERA">
      <formula>NOT(ISERROR(SEARCH("BOTONERA",G4)))</formula>
    </cfRule>
    <cfRule type="containsText" dxfId="33" priority="6" operator="containsText" text="RELOJ TALANA">
      <formula>NOT(ISERROR(SEARCH("RELOJ TALANA",G4)))</formula>
    </cfRule>
    <cfRule type="containsText" dxfId="32" priority="7" operator="containsText" text="IMPRESORA">
      <formula>NOT(ISERROR(SEARCH("IMPRESORA",G4)))</formula>
    </cfRule>
    <cfRule type="containsText" dxfId="31" priority="8" operator="containsText" text="NUC">
      <formula>NOT(ISERROR(SEARCH("NUC",G4)))</formula>
    </cfRule>
    <cfRule type="cellIs" dxfId="30" priority="9" operator="equal">
      <formula>"USUARIO"</formula>
    </cfRule>
    <cfRule type="cellIs" dxfId="29" priority="10" operator="equal">
      <formula>"SERVIDOR"</formula>
    </cfRule>
  </conditionalFormatting>
  <conditionalFormatting sqref="G13:G14">
    <cfRule type="containsText" dxfId="28" priority="2" operator="containsText" text="libre">
      <formula>NOT(ISERROR(SEARCH("libre",G13)))</formula>
    </cfRule>
  </conditionalFormatting>
  <pageMargins left="0.7" right="0.7" top="0.75" bottom="0.75" header="0.3" footer="0.3"/>
  <pageSetup paperSize="0"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DF86-38D3-4352-B1D2-F74108F81D13}">
  <dimension ref="B1:I257"/>
  <sheetViews>
    <sheetView workbookViewId="0">
      <selection activeCell="L15" sqref="L15"/>
    </sheetView>
  </sheetViews>
  <sheetFormatPr baseColWidth="10" defaultColWidth="11.44140625" defaultRowHeight="14.4" x14ac:dyDescent="0.3"/>
  <cols>
    <col min="2" max="2" width="17.44140625" customWidth="1"/>
    <col min="3" max="3" width="37.5546875" customWidth="1"/>
    <col min="4" max="4" width="20.6640625" style="23" bestFit="1" customWidth="1"/>
    <col min="5" max="5" width="23.5546875" customWidth="1"/>
    <col min="6" max="6" width="32.5546875" customWidth="1"/>
    <col min="7" max="7" width="20.6640625" bestFit="1" customWidth="1"/>
    <col min="8" max="8" width="9.5546875" bestFit="1" customWidth="1"/>
    <col min="9" max="9" width="11.5546875" bestFit="1" customWidth="1"/>
  </cols>
  <sheetData>
    <row r="1" spans="2:9" ht="15" thickBot="1" x14ac:dyDescent="0.35"/>
    <row r="2" spans="2:9" ht="15" thickBot="1" x14ac:dyDescent="0.35">
      <c r="B2" s="29" t="s">
        <v>1</v>
      </c>
      <c r="C2" s="30" t="s">
        <v>2</v>
      </c>
      <c r="D2" s="30" t="s">
        <v>452</v>
      </c>
      <c r="E2" s="31" t="s">
        <v>4</v>
      </c>
      <c r="H2" s="6" t="s">
        <v>5</v>
      </c>
      <c r="I2" s="7" t="s">
        <v>6</v>
      </c>
    </row>
    <row r="3" spans="2:9" ht="15" thickBot="1" x14ac:dyDescent="0.35">
      <c r="B3" s="32" t="s">
        <v>1245</v>
      </c>
      <c r="C3" s="20" t="s">
        <v>8</v>
      </c>
      <c r="D3" s="24" t="s">
        <v>9</v>
      </c>
      <c r="E3" s="33" t="s">
        <v>10</v>
      </c>
      <c r="G3" s="9" t="s">
        <v>11</v>
      </c>
      <c r="H3" s="10">
        <v>255</v>
      </c>
      <c r="I3" s="11">
        <v>1</v>
      </c>
    </row>
    <row r="4" spans="2:9" ht="15" thickBot="1" x14ac:dyDescent="0.35">
      <c r="B4" s="32" t="s">
        <v>1246</v>
      </c>
      <c r="C4" s="2"/>
      <c r="D4" s="66"/>
      <c r="E4" s="35"/>
      <c r="G4" s="5" t="s">
        <v>1540</v>
      </c>
      <c r="H4" s="8">
        <f>COUNTIF(D:D,"BOTONERA")</f>
        <v>0</v>
      </c>
      <c r="I4" s="12">
        <f>H4/$H$3</f>
        <v>0</v>
      </c>
    </row>
    <row r="5" spans="2:9" ht="15" thickBot="1" x14ac:dyDescent="0.35">
      <c r="B5" s="32" t="s">
        <v>1247</v>
      </c>
      <c r="C5" s="2"/>
      <c r="D5" s="25"/>
      <c r="E5" s="35"/>
      <c r="G5" s="13" t="s">
        <v>18</v>
      </c>
      <c r="H5" s="8">
        <f>COUNTIF(D:D,"cctv")</f>
        <v>0</v>
      </c>
      <c r="I5" s="12">
        <f t="shared" ref="I5:I13" si="0">H5/$H$3</f>
        <v>0</v>
      </c>
    </row>
    <row r="6" spans="2:9" ht="15" thickBot="1" x14ac:dyDescent="0.35">
      <c r="B6" s="32" t="s">
        <v>1248</v>
      </c>
      <c r="C6" s="2"/>
      <c r="D6" s="25"/>
      <c r="E6" s="35"/>
      <c r="G6" s="13" t="s">
        <v>20</v>
      </c>
      <c r="H6" s="8">
        <v>1</v>
      </c>
      <c r="I6" s="12">
        <f t="shared" si="0"/>
        <v>3.9215686274509803E-3</v>
      </c>
    </row>
    <row r="7" spans="2:9" ht="15" thickBot="1" x14ac:dyDescent="0.35">
      <c r="B7" s="32" t="s">
        <v>1249</v>
      </c>
      <c r="C7" s="2"/>
      <c r="D7" s="25"/>
      <c r="E7" s="35"/>
      <c r="G7" s="5" t="s">
        <v>22</v>
      </c>
      <c r="H7" s="8">
        <f>COUNTIF(D:D,"IMPRESORA")</f>
        <v>0</v>
      </c>
      <c r="I7" s="12">
        <f t="shared" si="0"/>
        <v>0</v>
      </c>
    </row>
    <row r="8" spans="2:9" ht="15" thickBot="1" x14ac:dyDescent="0.35">
      <c r="B8" s="32" t="s">
        <v>1250</v>
      </c>
      <c r="C8" s="3"/>
      <c r="D8" s="66"/>
      <c r="E8" s="35"/>
      <c r="G8" s="5" t="s">
        <v>24</v>
      </c>
      <c r="H8" s="8">
        <f>COUNTIF(D:D,"NUC")</f>
        <v>0</v>
      </c>
      <c r="I8" s="12">
        <f t="shared" si="0"/>
        <v>0</v>
      </c>
    </row>
    <row r="9" spans="2:9" ht="15" thickBot="1" x14ac:dyDescent="0.35">
      <c r="B9" s="32" t="s">
        <v>1251</v>
      </c>
      <c r="C9" s="2"/>
      <c r="D9" s="25"/>
      <c r="E9" s="35"/>
      <c r="G9" s="5" t="s">
        <v>28</v>
      </c>
      <c r="H9" s="8">
        <f>COUNTIF(D:D,"RELOJ TALANA")</f>
        <v>0</v>
      </c>
      <c r="I9" s="12">
        <f t="shared" si="0"/>
        <v>0</v>
      </c>
    </row>
    <row r="10" spans="2:9" ht="15" thickBot="1" x14ac:dyDescent="0.35">
      <c r="B10" s="32" t="s">
        <v>1252</v>
      </c>
      <c r="C10" s="2"/>
      <c r="D10" s="25"/>
      <c r="E10" s="35"/>
      <c r="G10" s="5" t="s">
        <v>17</v>
      </c>
      <c r="H10" s="8">
        <f>COUNTIF(D:D,"SERVIDOR")</f>
        <v>0</v>
      </c>
      <c r="I10" s="12">
        <f t="shared" si="0"/>
        <v>0</v>
      </c>
    </row>
    <row r="11" spans="2:9" ht="15" thickBot="1" x14ac:dyDescent="0.35">
      <c r="B11" s="32" t="s">
        <v>1253</v>
      </c>
      <c r="C11" s="2"/>
      <c r="D11" s="25"/>
      <c r="E11" s="35"/>
      <c r="G11" s="14" t="s">
        <v>34</v>
      </c>
      <c r="H11" s="8">
        <f>COUNTIF(D:D,"USUARIO")</f>
        <v>0</v>
      </c>
      <c r="I11" s="12">
        <f t="shared" si="0"/>
        <v>0</v>
      </c>
    </row>
    <row r="12" spans="2:9" ht="15" thickBot="1" x14ac:dyDescent="0.35">
      <c r="B12" s="32" t="s">
        <v>1254</v>
      </c>
      <c r="C12" s="2"/>
      <c r="D12" s="25"/>
      <c r="E12" s="35"/>
      <c r="G12" s="5" t="s">
        <v>36</v>
      </c>
      <c r="H12" s="8">
        <f>COUNTIF(C:C,"libre")</f>
        <v>0</v>
      </c>
      <c r="I12" s="12">
        <f t="shared" si="0"/>
        <v>0</v>
      </c>
    </row>
    <row r="13" spans="2:9" ht="15" thickBot="1" x14ac:dyDescent="0.35">
      <c r="B13" s="32" t="s">
        <v>1255</v>
      </c>
      <c r="C13" s="2"/>
      <c r="D13" s="25"/>
      <c r="E13" s="35"/>
      <c r="G13" s="15" t="s">
        <v>13</v>
      </c>
      <c r="H13" s="16">
        <f>COUNTIF(C:C,"¿?")</f>
        <v>0</v>
      </c>
      <c r="I13" s="12">
        <f t="shared" si="0"/>
        <v>0</v>
      </c>
    </row>
    <row r="14" spans="2:9" ht="15" thickBot="1" x14ac:dyDescent="0.35">
      <c r="B14" s="32" t="s">
        <v>1256</v>
      </c>
      <c r="C14" s="2"/>
      <c r="D14" s="25"/>
      <c r="E14" s="35"/>
    </row>
    <row r="15" spans="2:9" ht="15" thickBot="1" x14ac:dyDescent="0.35">
      <c r="B15" s="32" t="s">
        <v>1257</v>
      </c>
      <c r="C15" s="2"/>
      <c r="D15" s="25"/>
      <c r="E15" s="35"/>
    </row>
    <row r="16" spans="2:9" ht="15" thickBot="1" x14ac:dyDescent="0.35">
      <c r="B16" s="32" t="s">
        <v>1258</v>
      </c>
      <c r="C16" s="4"/>
      <c r="D16" s="25"/>
      <c r="E16" s="35"/>
    </row>
    <row r="17" spans="2:5" ht="15" thickBot="1" x14ac:dyDescent="0.35">
      <c r="B17" s="32" t="s">
        <v>1259</v>
      </c>
      <c r="C17" s="2"/>
      <c r="D17" s="25"/>
      <c r="E17" s="35"/>
    </row>
    <row r="18" spans="2:5" ht="15" thickBot="1" x14ac:dyDescent="0.35">
      <c r="B18" s="32" t="s">
        <v>1260</v>
      </c>
      <c r="C18" s="2"/>
      <c r="D18" s="25"/>
      <c r="E18" s="35"/>
    </row>
    <row r="19" spans="2:5" ht="15" thickBot="1" x14ac:dyDescent="0.35">
      <c r="B19" s="32" t="s">
        <v>1261</v>
      </c>
      <c r="C19" s="2"/>
      <c r="D19" s="25"/>
      <c r="E19" s="35"/>
    </row>
    <row r="20" spans="2:5" ht="15" thickBot="1" x14ac:dyDescent="0.35">
      <c r="B20" s="32" t="s">
        <v>1262</v>
      </c>
      <c r="C20" s="2"/>
      <c r="D20" s="25"/>
      <c r="E20" s="35"/>
    </row>
    <row r="21" spans="2:5" ht="15" thickBot="1" x14ac:dyDescent="0.35">
      <c r="B21" s="32" t="s">
        <v>1263</v>
      </c>
      <c r="C21" s="2"/>
      <c r="D21" s="25"/>
      <c r="E21" s="35"/>
    </row>
    <row r="22" spans="2:5" ht="15" thickBot="1" x14ac:dyDescent="0.35">
      <c r="B22" s="32" t="s">
        <v>1264</v>
      </c>
      <c r="C22" s="2"/>
      <c r="D22" s="25"/>
      <c r="E22" s="35"/>
    </row>
    <row r="23" spans="2:5" ht="15" thickBot="1" x14ac:dyDescent="0.35">
      <c r="B23" s="32" t="s">
        <v>1265</v>
      </c>
      <c r="C23" s="2"/>
      <c r="D23" s="25"/>
      <c r="E23" s="35"/>
    </row>
    <row r="24" spans="2:5" ht="15" thickBot="1" x14ac:dyDescent="0.35">
      <c r="B24" s="32" t="s">
        <v>1266</v>
      </c>
      <c r="C24" s="2"/>
      <c r="D24" s="25"/>
      <c r="E24" s="35"/>
    </row>
    <row r="25" spans="2:5" ht="15" thickBot="1" x14ac:dyDescent="0.35">
      <c r="B25" s="32" t="s">
        <v>1267</v>
      </c>
      <c r="C25" s="2"/>
      <c r="D25" s="25"/>
      <c r="E25" s="35"/>
    </row>
    <row r="26" spans="2:5" ht="15" thickBot="1" x14ac:dyDescent="0.35">
      <c r="B26" s="32" t="s">
        <v>1268</v>
      </c>
      <c r="C26" s="2"/>
      <c r="D26" s="25"/>
      <c r="E26" s="35"/>
    </row>
    <row r="27" spans="2:5" ht="15" thickBot="1" x14ac:dyDescent="0.35">
      <c r="B27" s="32" t="s">
        <v>1269</v>
      </c>
      <c r="C27" s="2"/>
      <c r="D27" s="25"/>
      <c r="E27" s="35"/>
    </row>
    <row r="28" spans="2:5" ht="15" thickBot="1" x14ac:dyDescent="0.35">
      <c r="B28" s="32" t="s">
        <v>1270</v>
      </c>
      <c r="C28" s="2"/>
      <c r="D28" s="25"/>
      <c r="E28" s="35"/>
    </row>
    <row r="29" spans="2:5" ht="15" thickBot="1" x14ac:dyDescent="0.35">
      <c r="B29" s="32" t="s">
        <v>1271</v>
      </c>
      <c r="C29" s="2"/>
      <c r="D29" s="25"/>
      <c r="E29" s="35"/>
    </row>
    <row r="30" spans="2:5" ht="15" thickBot="1" x14ac:dyDescent="0.35">
      <c r="B30" s="32" t="s">
        <v>1272</v>
      </c>
      <c r="C30" s="36"/>
      <c r="D30" s="25"/>
      <c r="E30" s="35"/>
    </row>
    <row r="31" spans="2:5" ht="15" thickBot="1" x14ac:dyDescent="0.35">
      <c r="B31" s="32" t="s">
        <v>1273</v>
      </c>
      <c r="C31" s="2"/>
      <c r="D31" s="25"/>
      <c r="E31" s="35"/>
    </row>
    <row r="32" spans="2:5" ht="15" thickBot="1" x14ac:dyDescent="0.35">
      <c r="B32" s="32" t="s">
        <v>1274</v>
      </c>
      <c r="C32" s="2"/>
      <c r="D32" s="25"/>
      <c r="E32" s="37"/>
    </row>
    <row r="33" spans="2:5" ht="15" thickBot="1" x14ac:dyDescent="0.35">
      <c r="B33" s="32" t="s">
        <v>1275</v>
      </c>
      <c r="C33" s="2"/>
      <c r="D33" s="25"/>
      <c r="E33" s="35"/>
    </row>
    <row r="34" spans="2:5" ht="15" thickBot="1" x14ac:dyDescent="0.35">
      <c r="B34" s="32" t="s">
        <v>1276</v>
      </c>
      <c r="C34" s="2"/>
      <c r="D34" s="25"/>
      <c r="E34" s="35"/>
    </row>
    <row r="35" spans="2:5" ht="15" thickBot="1" x14ac:dyDescent="0.35">
      <c r="B35" s="32" t="s">
        <v>1277</v>
      </c>
      <c r="C35" s="2"/>
      <c r="D35" s="25"/>
      <c r="E35" s="35"/>
    </row>
    <row r="36" spans="2:5" ht="15" thickBot="1" x14ac:dyDescent="0.35">
      <c r="B36" s="32" t="s">
        <v>1278</v>
      </c>
      <c r="C36" s="2"/>
      <c r="D36" s="25"/>
      <c r="E36" s="35"/>
    </row>
    <row r="37" spans="2:5" ht="15" thickBot="1" x14ac:dyDescent="0.35">
      <c r="B37" s="32" t="s">
        <v>1279</v>
      </c>
      <c r="C37" s="2"/>
      <c r="D37" s="25"/>
      <c r="E37" s="35"/>
    </row>
    <row r="38" spans="2:5" ht="15" thickBot="1" x14ac:dyDescent="0.35">
      <c r="B38" s="32" t="s">
        <v>1280</v>
      </c>
      <c r="C38" s="2"/>
      <c r="D38" s="25"/>
      <c r="E38" s="35"/>
    </row>
    <row r="39" spans="2:5" ht="15" thickBot="1" x14ac:dyDescent="0.35">
      <c r="B39" s="32" t="s">
        <v>1281</v>
      </c>
      <c r="C39" s="38"/>
      <c r="D39" s="25"/>
      <c r="E39" s="35"/>
    </row>
    <row r="40" spans="2:5" ht="15" thickBot="1" x14ac:dyDescent="0.35">
      <c r="B40" s="32" t="s">
        <v>1282</v>
      </c>
      <c r="C40" s="2"/>
      <c r="D40" s="25"/>
      <c r="E40" s="35"/>
    </row>
    <row r="41" spans="2:5" ht="15" thickBot="1" x14ac:dyDescent="0.35">
      <c r="B41" s="32" t="s">
        <v>1283</v>
      </c>
      <c r="C41" s="2"/>
      <c r="D41" s="25"/>
      <c r="E41" s="35"/>
    </row>
    <row r="42" spans="2:5" ht="15" thickBot="1" x14ac:dyDescent="0.35">
      <c r="B42" s="32" t="s">
        <v>1284</v>
      </c>
      <c r="C42" s="2"/>
      <c r="D42" s="25"/>
      <c r="E42" s="35"/>
    </row>
    <row r="43" spans="2:5" ht="15" thickBot="1" x14ac:dyDescent="0.35">
      <c r="B43" s="32" t="s">
        <v>1285</v>
      </c>
      <c r="C43" s="2"/>
      <c r="D43" s="25"/>
      <c r="E43" s="35"/>
    </row>
    <row r="44" spans="2:5" ht="15" thickBot="1" x14ac:dyDescent="0.35">
      <c r="B44" s="32" t="s">
        <v>1286</v>
      </c>
      <c r="C44" s="2"/>
      <c r="D44" s="25"/>
      <c r="E44" s="35"/>
    </row>
    <row r="45" spans="2:5" ht="15" thickBot="1" x14ac:dyDescent="0.35">
      <c r="B45" s="32" t="s">
        <v>1287</v>
      </c>
      <c r="C45" s="2"/>
      <c r="D45" s="25"/>
      <c r="E45" s="35"/>
    </row>
    <row r="46" spans="2:5" ht="15" thickBot="1" x14ac:dyDescent="0.35">
      <c r="B46" s="32" t="s">
        <v>1288</v>
      </c>
      <c r="C46" s="2"/>
      <c r="D46" s="25"/>
      <c r="E46" s="35"/>
    </row>
    <row r="47" spans="2:5" ht="15" thickBot="1" x14ac:dyDescent="0.35">
      <c r="B47" s="32" t="s">
        <v>1289</v>
      </c>
      <c r="C47" s="2"/>
      <c r="D47" s="25"/>
      <c r="E47" s="35"/>
    </row>
    <row r="48" spans="2:5" ht="15" thickBot="1" x14ac:dyDescent="0.35">
      <c r="B48" s="32" t="s">
        <v>1290</v>
      </c>
      <c r="C48" s="2"/>
      <c r="D48" s="25"/>
      <c r="E48" s="35"/>
    </row>
    <row r="49" spans="2:5" ht="15" thickBot="1" x14ac:dyDescent="0.35">
      <c r="B49" s="32" t="s">
        <v>1291</v>
      </c>
      <c r="C49" s="2"/>
      <c r="D49" s="25"/>
      <c r="E49" s="35"/>
    </row>
    <row r="50" spans="2:5" ht="15" thickBot="1" x14ac:dyDescent="0.35">
      <c r="B50" s="32" t="s">
        <v>1292</v>
      </c>
      <c r="C50" s="2"/>
      <c r="D50" s="25"/>
      <c r="E50" s="35"/>
    </row>
    <row r="51" spans="2:5" ht="15" thickBot="1" x14ac:dyDescent="0.35">
      <c r="B51" s="32" t="s">
        <v>1293</v>
      </c>
      <c r="C51" s="2"/>
      <c r="D51" s="25"/>
      <c r="E51" s="35"/>
    </row>
    <row r="52" spans="2:5" ht="15" thickBot="1" x14ac:dyDescent="0.35">
      <c r="B52" s="32" t="s">
        <v>1294</v>
      </c>
      <c r="C52" s="2"/>
      <c r="D52" s="25"/>
      <c r="E52" s="35"/>
    </row>
    <row r="53" spans="2:5" ht="15" thickBot="1" x14ac:dyDescent="0.35">
      <c r="B53" s="32" t="s">
        <v>1295</v>
      </c>
      <c r="C53" s="2"/>
      <c r="D53" s="25"/>
      <c r="E53" s="35"/>
    </row>
    <row r="54" spans="2:5" ht="15" thickBot="1" x14ac:dyDescent="0.35">
      <c r="B54" s="32" t="s">
        <v>1296</v>
      </c>
      <c r="C54" s="21"/>
      <c r="D54" s="25"/>
      <c r="E54" s="35"/>
    </row>
    <row r="55" spans="2:5" ht="15" thickBot="1" x14ac:dyDescent="0.35">
      <c r="B55" s="32" t="s">
        <v>1297</v>
      </c>
      <c r="C55" s="2"/>
      <c r="D55" s="25"/>
      <c r="E55" s="35"/>
    </row>
    <row r="56" spans="2:5" ht="15" thickBot="1" x14ac:dyDescent="0.35">
      <c r="B56" s="32" t="s">
        <v>1298</v>
      </c>
      <c r="C56" s="2"/>
      <c r="D56" s="25"/>
      <c r="E56" s="35"/>
    </row>
    <row r="57" spans="2:5" ht="15" thickBot="1" x14ac:dyDescent="0.35">
      <c r="B57" s="32" t="s">
        <v>1299</v>
      </c>
      <c r="C57" s="2"/>
      <c r="D57" s="25"/>
      <c r="E57" s="35"/>
    </row>
    <row r="58" spans="2:5" ht="15" thickBot="1" x14ac:dyDescent="0.35">
      <c r="B58" s="32" t="s">
        <v>1300</v>
      </c>
      <c r="C58" s="2"/>
      <c r="D58" s="25"/>
      <c r="E58" s="35"/>
    </row>
    <row r="59" spans="2:5" ht="15" thickBot="1" x14ac:dyDescent="0.35">
      <c r="B59" s="32" t="s">
        <v>1301</v>
      </c>
      <c r="C59" s="2"/>
      <c r="D59" s="25"/>
      <c r="E59" s="35"/>
    </row>
    <row r="60" spans="2:5" ht="15" thickBot="1" x14ac:dyDescent="0.35">
      <c r="B60" s="32" t="s">
        <v>1302</v>
      </c>
      <c r="C60" s="2"/>
      <c r="D60" s="25"/>
      <c r="E60" s="35"/>
    </row>
    <row r="61" spans="2:5" ht="15" thickBot="1" x14ac:dyDescent="0.35">
      <c r="B61" s="32" t="s">
        <v>1303</v>
      </c>
      <c r="C61" s="2"/>
      <c r="D61" s="25"/>
      <c r="E61" s="35"/>
    </row>
    <row r="62" spans="2:5" ht="15" thickBot="1" x14ac:dyDescent="0.35">
      <c r="B62" s="32" t="s">
        <v>1304</v>
      </c>
      <c r="C62" s="2"/>
      <c r="D62" s="25"/>
      <c r="E62" s="35"/>
    </row>
    <row r="63" spans="2:5" ht="15" thickBot="1" x14ac:dyDescent="0.35">
      <c r="B63" s="32" t="s">
        <v>1305</v>
      </c>
      <c r="C63" s="2"/>
      <c r="D63" s="25"/>
      <c r="E63" s="35"/>
    </row>
    <row r="64" spans="2:5" ht="15" thickBot="1" x14ac:dyDescent="0.35">
      <c r="B64" s="32" t="s">
        <v>1306</v>
      </c>
      <c r="C64" s="2"/>
      <c r="D64" s="25"/>
      <c r="E64" s="35"/>
    </row>
    <row r="65" spans="2:5" ht="15" thickBot="1" x14ac:dyDescent="0.35">
      <c r="B65" s="32" t="s">
        <v>1307</v>
      </c>
      <c r="C65" s="2"/>
      <c r="D65" s="25"/>
      <c r="E65" s="35"/>
    </row>
    <row r="66" spans="2:5" ht="15" thickBot="1" x14ac:dyDescent="0.35">
      <c r="B66" s="32" t="s">
        <v>1308</v>
      </c>
      <c r="C66" s="2"/>
      <c r="D66" s="25"/>
      <c r="E66" s="35"/>
    </row>
    <row r="67" spans="2:5" ht="15" thickBot="1" x14ac:dyDescent="0.35">
      <c r="B67" s="32" t="s">
        <v>1309</v>
      </c>
      <c r="C67" s="2"/>
      <c r="D67" s="25"/>
      <c r="E67" s="35"/>
    </row>
    <row r="68" spans="2:5" ht="15" thickBot="1" x14ac:dyDescent="0.35">
      <c r="B68" s="32" t="s">
        <v>1310</v>
      </c>
      <c r="C68" s="2"/>
      <c r="D68" s="25"/>
      <c r="E68" s="35"/>
    </row>
    <row r="69" spans="2:5" ht="15" thickBot="1" x14ac:dyDescent="0.35">
      <c r="B69" s="32" t="s">
        <v>1311</v>
      </c>
      <c r="C69" s="2"/>
      <c r="D69" s="25"/>
      <c r="E69" s="35"/>
    </row>
    <row r="70" spans="2:5" ht="15" thickBot="1" x14ac:dyDescent="0.35">
      <c r="B70" s="32" t="s">
        <v>1312</v>
      </c>
      <c r="C70" s="2"/>
      <c r="D70" s="25"/>
      <c r="E70" s="35"/>
    </row>
    <row r="71" spans="2:5" ht="15" thickBot="1" x14ac:dyDescent="0.35">
      <c r="B71" s="32" t="s">
        <v>1313</v>
      </c>
      <c r="C71" s="4"/>
      <c r="D71" s="25"/>
      <c r="E71" s="35"/>
    </row>
    <row r="72" spans="2:5" ht="15" thickBot="1" x14ac:dyDescent="0.35">
      <c r="B72" s="32" t="s">
        <v>1314</v>
      </c>
      <c r="C72" s="2"/>
      <c r="D72" s="25"/>
      <c r="E72" s="35"/>
    </row>
    <row r="73" spans="2:5" ht="15" thickBot="1" x14ac:dyDescent="0.35">
      <c r="B73" s="32" t="s">
        <v>1315</v>
      </c>
      <c r="C73" s="2"/>
      <c r="D73" s="25"/>
      <c r="E73" s="35"/>
    </row>
    <row r="74" spans="2:5" ht="15" thickBot="1" x14ac:dyDescent="0.35">
      <c r="B74" s="32" t="s">
        <v>1316</v>
      </c>
      <c r="C74" s="2"/>
      <c r="D74" s="25"/>
      <c r="E74" s="35"/>
    </row>
    <row r="75" spans="2:5" ht="15" thickBot="1" x14ac:dyDescent="0.35">
      <c r="B75" s="32" t="s">
        <v>1317</v>
      </c>
      <c r="C75" s="2"/>
      <c r="D75" s="25"/>
      <c r="E75" s="35"/>
    </row>
    <row r="76" spans="2:5" ht="15" thickBot="1" x14ac:dyDescent="0.35">
      <c r="B76" s="32" t="s">
        <v>1318</v>
      </c>
      <c r="C76" s="2"/>
      <c r="D76" s="25"/>
      <c r="E76" s="35"/>
    </row>
    <row r="77" spans="2:5" ht="15" thickBot="1" x14ac:dyDescent="0.35">
      <c r="B77" s="32" t="s">
        <v>1319</v>
      </c>
      <c r="C77" s="2"/>
      <c r="D77" s="25"/>
      <c r="E77" s="35"/>
    </row>
    <row r="78" spans="2:5" ht="15" thickBot="1" x14ac:dyDescent="0.35">
      <c r="B78" s="32" t="s">
        <v>1320</v>
      </c>
      <c r="C78" s="2"/>
      <c r="D78" s="25"/>
      <c r="E78" s="35"/>
    </row>
    <row r="79" spans="2:5" ht="15" thickBot="1" x14ac:dyDescent="0.35">
      <c r="B79" s="32" t="s">
        <v>1321</v>
      </c>
      <c r="C79" s="2"/>
      <c r="D79" s="25"/>
      <c r="E79" s="35"/>
    </row>
    <row r="80" spans="2:5" ht="15" thickBot="1" x14ac:dyDescent="0.35">
      <c r="B80" s="32" t="s">
        <v>1322</v>
      </c>
      <c r="C80" s="2"/>
      <c r="D80" s="25"/>
      <c r="E80" s="35"/>
    </row>
    <row r="81" spans="2:5" ht="15" thickBot="1" x14ac:dyDescent="0.35">
      <c r="B81" s="32" t="s">
        <v>1323</v>
      </c>
      <c r="C81" s="2"/>
      <c r="D81" s="25"/>
      <c r="E81" s="35"/>
    </row>
    <row r="82" spans="2:5" ht="15" thickBot="1" x14ac:dyDescent="0.35">
      <c r="B82" s="32" t="s">
        <v>1324</v>
      </c>
      <c r="C82" s="2"/>
      <c r="D82" s="25"/>
      <c r="E82" s="35"/>
    </row>
    <row r="83" spans="2:5" ht="15" thickBot="1" x14ac:dyDescent="0.35">
      <c r="B83" s="32" t="s">
        <v>1325</v>
      </c>
      <c r="C83" s="2"/>
      <c r="D83" s="25"/>
      <c r="E83" s="35"/>
    </row>
    <row r="84" spans="2:5" ht="15" thickBot="1" x14ac:dyDescent="0.35">
      <c r="B84" s="32" t="s">
        <v>1326</v>
      </c>
      <c r="C84" s="2"/>
      <c r="D84" s="25"/>
      <c r="E84" s="35"/>
    </row>
    <row r="85" spans="2:5" ht="15" thickBot="1" x14ac:dyDescent="0.35">
      <c r="B85" s="32" t="s">
        <v>1327</v>
      </c>
      <c r="C85" s="2"/>
      <c r="D85" s="25"/>
      <c r="E85" s="35"/>
    </row>
    <row r="86" spans="2:5" ht="15" thickBot="1" x14ac:dyDescent="0.35">
      <c r="B86" s="32" t="s">
        <v>1328</v>
      </c>
      <c r="C86" s="2"/>
      <c r="D86" s="25"/>
      <c r="E86" s="35"/>
    </row>
    <row r="87" spans="2:5" ht="15" thickBot="1" x14ac:dyDescent="0.35">
      <c r="B87" s="32" t="s">
        <v>1329</v>
      </c>
      <c r="C87" s="2"/>
      <c r="D87" s="25"/>
      <c r="E87" s="35"/>
    </row>
    <row r="88" spans="2:5" ht="15" thickBot="1" x14ac:dyDescent="0.35">
      <c r="B88" s="32" t="s">
        <v>1330</v>
      </c>
      <c r="C88" s="2"/>
      <c r="D88" s="25"/>
      <c r="E88" s="35"/>
    </row>
    <row r="89" spans="2:5" ht="15" thickBot="1" x14ac:dyDescent="0.35">
      <c r="B89" s="32" t="s">
        <v>1331</v>
      </c>
      <c r="C89" s="2"/>
      <c r="D89" s="25"/>
      <c r="E89" s="35"/>
    </row>
    <row r="90" spans="2:5" ht="15" thickBot="1" x14ac:dyDescent="0.35">
      <c r="B90" s="32" t="s">
        <v>1332</v>
      </c>
      <c r="C90" s="2"/>
      <c r="D90" s="25"/>
      <c r="E90" s="35"/>
    </row>
    <row r="91" spans="2:5" ht="15" thickBot="1" x14ac:dyDescent="0.35">
      <c r="B91" s="32" t="s">
        <v>1333</v>
      </c>
      <c r="C91" s="2"/>
      <c r="D91" s="25"/>
      <c r="E91" s="35"/>
    </row>
    <row r="92" spans="2:5" ht="15" thickBot="1" x14ac:dyDescent="0.35">
      <c r="B92" s="32" t="s">
        <v>1334</v>
      </c>
      <c r="C92" s="2"/>
      <c r="D92" s="25"/>
      <c r="E92" s="35"/>
    </row>
    <row r="93" spans="2:5" ht="15" thickBot="1" x14ac:dyDescent="0.35">
      <c r="B93" s="32" t="s">
        <v>1335</v>
      </c>
      <c r="C93" s="2"/>
      <c r="D93" s="25"/>
      <c r="E93" s="35"/>
    </row>
    <row r="94" spans="2:5" ht="15" thickBot="1" x14ac:dyDescent="0.35">
      <c r="B94" s="32" t="s">
        <v>1336</v>
      </c>
      <c r="C94" s="2"/>
      <c r="D94" s="25"/>
      <c r="E94" s="35"/>
    </row>
    <row r="95" spans="2:5" ht="15" thickBot="1" x14ac:dyDescent="0.35">
      <c r="B95" s="32" t="s">
        <v>1337</v>
      </c>
      <c r="C95" s="2"/>
      <c r="D95" s="25"/>
      <c r="E95" s="35"/>
    </row>
    <row r="96" spans="2:5" ht="15" thickBot="1" x14ac:dyDescent="0.35">
      <c r="B96" s="32" t="s">
        <v>1338</v>
      </c>
      <c r="C96" s="2"/>
      <c r="D96" s="25"/>
      <c r="E96" s="35"/>
    </row>
    <row r="97" spans="2:5" ht="15" thickBot="1" x14ac:dyDescent="0.35">
      <c r="B97" s="32" t="s">
        <v>1339</v>
      </c>
      <c r="C97" s="2"/>
      <c r="D97" s="25"/>
      <c r="E97" s="35"/>
    </row>
    <row r="98" spans="2:5" ht="15" thickBot="1" x14ac:dyDescent="0.35">
      <c r="B98" s="32" t="s">
        <v>1340</v>
      </c>
      <c r="C98" s="2"/>
      <c r="D98" s="25"/>
      <c r="E98" s="35"/>
    </row>
    <row r="99" spans="2:5" ht="15" thickBot="1" x14ac:dyDescent="0.35">
      <c r="B99" s="32" t="s">
        <v>1341</v>
      </c>
      <c r="C99" s="2"/>
      <c r="D99" s="25"/>
      <c r="E99" s="35"/>
    </row>
    <row r="100" spans="2:5" ht="15" thickBot="1" x14ac:dyDescent="0.35">
      <c r="B100" s="32" t="s">
        <v>1342</v>
      </c>
      <c r="C100" s="2"/>
      <c r="D100" s="25"/>
      <c r="E100" s="35"/>
    </row>
    <row r="101" spans="2:5" ht="15" thickBot="1" x14ac:dyDescent="0.35">
      <c r="B101" s="32" t="s">
        <v>1343</v>
      </c>
      <c r="C101" s="2"/>
      <c r="D101" s="25"/>
      <c r="E101" s="35"/>
    </row>
    <row r="102" spans="2:5" ht="15" thickBot="1" x14ac:dyDescent="0.35">
      <c r="B102" s="32" t="s">
        <v>1344</v>
      </c>
      <c r="C102" s="2"/>
      <c r="D102" s="25"/>
      <c r="E102" s="35"/>
    </row>
    <row r="103" spans="2:5" ht="15" thickBot="1" x14ac:dyDescent="0.35">
      <c r="B103" s="32" t="s">
        <v>1345</v>
      </c>
      <c r="C103" s="2"/>
      <c r="D103" s="25"/>
      <c r="E103" s="35"/>
    </row>
    <row r="104" spans="2:5" ht="15" thickBot="1" x14ac:dyDescent="0.35">
      <c r="B104" s="32" t="s">
        <v>1346</v>
      </c>
      <c r="C104" s="2"/>
      <c r="D104" s="25"/>
      <c r="E104" s="37"/>
    </row>
    <row r="105" spans="2:5" ht="15" thickBot="1" x14ac:dyDescent="0.35">
      <c r="B105" s="32" t="s">
        <v>1347</v>
      </c>
      <c r="C105" s="2"/>
      <c r="D105" s="25"/>
      <c r="E105" s="35"/>
    </row>
    <row r="106" spans="2:5" ht="15" thickBot="1" x14ac:dyDescent="0.35">
      <c r="B106" s="32" t="s">
        <v>1348</v>
      </c>
      <c r="C106" s="2"/>
      <c r="D106" s="25"/>
      <c r="E106" s="35"/>
    </row>
    <row r="107" spans="2:5" ht="15" thickBot="1" x14ac:dyDescent="0.35">
      <c r="B107" s="32" t="s">
        <v>1349</v>
      </c>
      <c r="C107" s="2"/>
      <c r="D107" s="25"/>
      <c r="E107" s="35"/>
    </row>
    <row r="108" spans="2:5" ht="15" thickBot="1" x14ac:dyDescent="0.35">
      <c r="B108" s="32" t="s">
        <v>1350</v>
      </c>
      <c r="C108" s="2"/>
      <c r="D108" s="25"/>
      <c r="E108" s="35"/>
    </row>
    <row r="109" spans="2:5" ht="15" thickBot="1" x14ac:dyDescent="0.35">
      <c r="B109" s="32" t="s">
        <v>1351</v>
      </c>
      <c r="C109" s="2"/>
      <c r="D109" s="25"/>
      <c r="E109" s="35"/>
    </row>
    <row r="110" spans="2:5" ht="15" thickBot="1" x14ac:dyDescent="0.35">
      <c r="B110" s="32" t="s">
        <v>1352</v>
      </c>
      <c r="C110" s="2"/>
      <c r="D110" s="25"/>
      <c r="E110" s="35"/>
    </row>
    <row r="111" spans="2:5" ht="15" thickBot="1" x14ac:dyDescent="0.35">
      <c r="B111" s="32" t="s">
        <v>1353</v>
      </c>
      <c r="C111" s="2"/>
      <c r="D111" s="25"/>
      <c r="E111" s="35"/>
    </row>
    <row r="112" spans="2:5" ht="15" thickBot="1" x14ac:dyDescent="0.35">
      <c r="B112" s="32" t="s">
        <v>1354</v>
      </c>
      <c r="C112" s="2"/>
      <c r="D112" s="25"/>
      <c r="E112" s="35"/>
    </row>
    <row r="113" spans="2:5" ht="15" thickBot="1" x14ac:dyDescent="0.35">
      <c r="B113" s="32" t="s">
        <v>1355</v>
      </c>
      <c r="C113" s="2"/>
      <c r="D113" s="25"/>
      <c r="E113" s="35"/>
    </row>
    <row r="114" spans="2:5" ht="15" thickBot="1" x14ac:dyDescent="0.35">
      <c r="B114" s="32" t="s">
        <v>1356</v>
      </c>
      <c r="C114" s="2"/>
      <c r="D114" s="25"/>
      <c r="E114" s="35"/>
    </row>
    <row r="115" spans="2:5" ht="15" thickBot="1" x14ac:dyDescent="0.35">
      <c r="B115" s="32" t="s">
        <v>1357</v>
      </c>
      <c r="C115" s="2"/>
      <c r="D115" s="25"/>
      <c r="E115" s="35"/>
    </row>
    <row r="116" spans="2:5" ht="15" thickBot="1" x14ac:dyDescent="0.35">
      <c r="B116" s="32" t="s">
        <v>1358</v>
      </c>
      <c r="C116" s="2"/>
      <c r="D116" s="25"/>
      <c r="E116" s="35"/>
    </row>
    <row r="117" spans="2:5" ht="15" thickBot="1" x14ac:dyDescent="0.35">
      <c r="B117" s="32" t="s">
        <v>1359</v>
      </c>
      <c r="C117" s="2"/>
      <c r="D117" s="25"/>
      <c r="E117" s="35"/>
    </row>
    <row r="118" spans="2:5" ht="15" thickBot="1" x14ac:dyDescent="0.35">
      <c r="B118" s="32" t="s">
        <v>1360</v>
      </c>
      <c r="C118" s="2"/>
      <c r="D118" s="25"/>
      <c r="E118" s="35"/>
    </row>
    <row r="119" spans="2:5" ht="15" thickBot="1" x14ac:dyDescent="0.35">
      <c r="B119" s="32" t="s">
        <v>1361</v>
      </c>
      <c r="C119" s="2"/>
      <c r="D119" s="25"/>
      <c r="E119" s="35"/>
    </row>
    <row r="120" spans="2:5" ht="15" thickBot="1" x14ac:dyDescent="0.35">
      <c r="B120" s="32" t="s">
        <v>1362</v>
      </c>
      <c r="C120" s="2"/>
      <c r="D120" s="25"/>
      <c r="E120" s="35"/>
    </row>
    <row r="121" spans="2:5" ht="15" thickBot="1" x14ac:dyDescent="0.35">
      <c r="B121" s="32" t="s">
        <v>1363</v>
      </c>
      <c r="C121" s="2"/>
      <c r="D121" s="25"/>
      <c r="E121" s="35"/>
    </row>
    <row r="122" spans="2:5" ht="15" thickBot="1" x14ac:dyDescent="0.35">
      <c r="B122" s="32" t="s">
        <v>1364</v>
      </c>
      <c r="C122" s="2"/>
      <c r="D122" s="25"/>
      <c r="E122" s="35"/>
    </row>
    <row r="123" spans="2:5" ht="15" thickBot="1" x14ac:dyDescent="0.35">
      <c r="B123" s="32" t="s">
        <v>1365</v>
      </c>
      <c r="C123" s="2"/>
      <c r="D123" s="25"/>
      <c r="E123" s="35"/>
    </row>
    <row r="124" spans="2:5" ht="15" thickBot="1" x14ac:dyDescent="0.35">
      <c r="B124" s="32" t="s">
        <v>1366</v>
      </c>
      <c r="C124" s="2"/>
      <c r="D124" s="25"/>
      <c r="E124" s="35"/>
    </row>
    <row r="125" spans="2:5" ht="15" thickBot="1" x14ac:dyDescent="0.35">
      <c r="B125" s="32" t="s">
        <v>1367</v>
      </c>
      <c r="C125" s="2"/>
      <c r="D125" s="25"/>
      <c r="E125" s="35"/>
    </row>
    <row r="126" spans="2:5" ht="15" thickBot="1" x14ac:dyDescent="0.35">
      <c r="B126" s="32" t="s">
        <v>1368</v>
      </c>
      <c r="C126" s="2"/>
      <c r="D126" s="25"/>
      <c r="E126" s="35"/>
    </row>
    <row r="127" spans="2:5" ht="15" thickBot="1" x14ac:dyDescent="0.35">
      <c r="B127" s="32" t="s">
        <v>1369</v>
      </c>
      <c r="C127" s="2"/>
      <c r="D127" s="25"/>
      <c r="E127" s="35"/>
    </row>
    <row r="128" spans="2:5" ht="15" thickBot="1" x14ac:dyDescent="0.35">
      <c r="B128" s="32" t="s">
        <v>1370</v>
      </c>
      <c r="C128" s="2"/>
      <c r="D128" s="25"/>
      <c r="E128" s="35"/>
    </row>
    <row r="129" spans="2:5" ht="15" thickBot="1" x14ac:dyDescent="0.35">
      <c r="B129" s="32" t="s">
        <v>1371</v>
      </c>
      <c r="C129" s="2"/>
      <c r="D129" s="25"/>
      <c r="E129" s="35"/>
    </row>
    <row r="130" spans="2:5" ht="15" thickBot="1" x14ac:dyDescent="0.35">
      <c r="B130" s="32" t="s">
        <v>1372</v>
      </c>
      <c r="C130" s="2"/>
      <c r="D130" s="25"/>
      <c r="E130" s="35"/>
    </row>
    <row r="131" spans="2:5" ht="15" thickBot="1" x14ac:dyDescent="0.35">
      <c r="B131" s="32" t="s">
        <v>1373</v>
      </c>
      <c r="C131" s="2"/>
      <c r="D131" s="25"/>
      <c r="E131" s="35"/>
    </row>
    <row r="132" spans="2:5" ht="15" thickBot="1" x14ac:dyDescent="0.35">
      <c r="B132" s="32" t="s">
        <v>1374</v>
      </c>
      <c r="C132" s="2"/>
      <c r="D132" s="25"/>
      <c r="E132" s="35"/>
    </row>
    <row r="133" spans="2:5" ht="15" thickBot="1" x14ac:dyDescent="0.35">
      <c r="B133" s="32" t="s">
        <v>1375</v>
      </c>
      <c r="C133" s="2"/>
      <c r="D133" s="25"/>
      <c r="E133" s="35"/>
    </row>
    <row r="134" spans="2:5" ht="15" thickBot="1" x14ac:dyDescent="0.35">
      <c r="B134" s="32" t="s">
        <v>1376</v>
      </c>
      <c r="C134" s="2"/>
      <c r="D134" s="25"/>
      <c r="E134" s="35"/>
    </row>
    <row r="135" spans="2:5" ht="15" thickBot="1" x14ac:dyDescent="0.35">
      <c r="B135" s="32" t="s">
        <v>1377</v>
      </c>
      <c r="C135" s="2"/>
      <c r="D135" s="25"/>
      <c r="E135" s="35"/>
    </row>
    <row r="136" spans="2:5" ht="15" thickBot="1" x14ac:dyDescent="0.35">
      <c r="B136" s="32" t="s">
        <v>1378</v>
      </c>
      <c r="C136" s="2"/>
      <c r="D136" s="25"/>
      <c r="E136" s="35"/>
    </row>
    <row r="137" spans="2:5" ht="15" thickBot="1" x14ac:dyDescent="0.35">
      <c r="B137" s="32" t="s">
        <v>1379</v>
      </c>
      <c r="C137" s="2"/>
      <c r="D137" s="25"/>
      <c r="E137" s="35"/>
    </row>
    <row r="138" spans="2:5" ht="15" thickBot="1" x14ac:dyDescent="0.35">
      <c r="B138" s="32" t="s">
        <v>1380</v>
      </c>
      <c r="C138" s="2"/>
      <c r="D138" s="25"/>
      <c r="E138" s="35"/>
    </row>
    <row r="139" spans="2:5" ht="15" thickBot="1" x14ac:dyDescent="0.35">
      <c r="B139" s="32" t="s">
        <v>1381</v>
      </c>
      <c r="C139" s="2"/>
      <c r="D139" s="25"/>
      <c r="E139" s="35"/>
    </row>
    <row r="140" spans="2:5" ht="15" thickBot="1" x14ac:dyDescent="0.35">
      <c r="B140" s="32" t="s">
        <v>1382</v>
      </c>
      <c r="C140" s="2"/>
      <c r="D140" s="25"/>
      <c r="E140" s="50"/>
    </row>
    <row r="141" spans="2:5" ht="15" thickBot="1" x14ac:dyDescent="0.35">
      <c r="B141" s="32" t="s">
        <v>1383</v>
      </c>
      <c r="C141" s="2"/>
      <c r="D141" s="25"/>
      <c r="E141" s="35"/>
    </row>
    <row r="142" spans="2:5" ht="15" thickBot="1" x14ac:dyDescent="0.35">
      <c r="B142" s="32" t="s">
        <v>1384</v>
      </c>
      <c r="C142" s="2"/>
      <c r="D142" s="25"/>
      <c r="E142" s="35"/>
    </row>
    <row r="143" spans="2:5" ht="15" thickBot="1" x14ac:dyDescent="0.35">
      <c r="B143" s="32" t="s">
        <v>1385</v>
      </c>
      <c r="C143" s="2"/>
      <c r="D143" s="25"/>
      <c r="E143" s="35"/>
    </row>
    <row r="144" spans="2:5" ht="15" thickBot="1" x14ac:dyDescent="0.35">
      <c r="B144" s="32" t="s">
        <v>1386</v>
      </c>
      <c r="C144" s="2"/>
      <c r="D144" s="25"/>
      <c r="E144" s="35"/>
    </row>
    <row r="145" spans="2:5" ht="15" thickBot="1" x14ac:dyDescent="0.35">
      <c r="B145" s="32" t="s">
        <v>1387</v>
      </c>
      <c r="C145" s="2"/>
      <c r="D145" s="25"/>
      <c r="E145" s="35"/>
    </row>
    <row r="146" spans="2:5" ht="15" thickBot="1" x14ac:dyDescent="0.35">
      <c r="B146" s="32" t="s">
        <v>1388</v>
      </c>
      <c r="C146" s="2"/>
      <c r="D146" s="25"/>
      <c r="E146" s="35"/>
    </row>
    <row r="147" spans="2:5" ht="15" thickBot="1" x14ac:dyDescent="0.35">
      <c r="B147" s="32" t="s">
        <v>1389</v>
      </c>
      <c r="C147" s="2"/>
      <c r="D147" s="25"/>
      <c r="E147" s="35"/>
    </row>
    <row r="148" spans="2:5" ht="15" thickBot="1" x14ac:dyDescent="0.35">
      <c r="B148" s="32" t="s">
        <v>1390</v>
      </c>
      <c r="C148" s="2"/>
      <c r="D148" s="25"/>
      <c r="E148" s="35"/>
    </row>
    <row r="149" spans="2:5" ht="15" thickBot="1" x14ac:dyDescent="0.35">
      <c r="B149" s="32" t="s">
        <v>1391</v>
      </c>
      <c r="C149" s="2"/>
      <c r="D149" s="25"/>
      <c r="E149" s="35"/>
    </row>
    <row r="150" spans="2:5" ht="15" thickBot="1" x14ac:dyDescent="0.35">
      <c r="B150" s="32" t="s">
        <v>1392</v>
      </c>
      <c r="C150" s="2"/>
      <c r="D150" s="25"/>
      <c r="E150" s="35"/>
    </row>
    <row r="151" spans="2:5" ht="15" thickBot="1" x14ac:dyDescent="0.35">
      <c r="B151" s="32" t="s">
        <v>1393</v>
      </c>
      <c r="C151" s="2"/>
      <c r="D151" s="25"/>
      <c r="E151" s="35"/>
    </row>
    <row r="152" spans="2:5" ht="15" thickBot="1" x14ac:dyDescent="0.35">
      <c r="B152" s="32" t="s">
        <v>1394</v>
      </c>
      <c r="C152" s="2"/>
      <c r="D152" s="25"/>
      <c r="E152" s="35"/>
    </row>
    <row r="153" spans="2:5" ht="15" thickBot="1" x14ac:dyDescent="0.35">
      <c r="B153" s="32" t="s">
        <v>1395</v>
      </c>
      <c r="C153" s="2"/>
      <c r="D153" s="25"/>
      <c r="E153" s="35"/>
    </row>
    <row r="154" spans="2:5" ht="15" thickBot="1" x14ac:dyDescent="0.35">
      <c r="B154" s="32" t="s">
        <v>1396</v>
      </c>
      <c r="C154" s="2"/>
      <c r="D154" s="25"/>
      <c r="E154" s="35"/>
    </row>
    <row r="155" spans="2:5" ht="15" thickBot="1" x14ac:dyDescent="0.35">
      <c r="B155" s="32" t="s">
        <v>1397</v>
      </c>
      <c r="C155" s="2"/>
      <c r="D155" s="25"/>
      <c r="E155" s="35"/>
    </row>
    <row r="156" spans="2:5" ht="15" thickBot="1" x14ac:dyDescent="0.35">
      <c r="B156" s="32" t="s">
        <v>1398</v>
      </c>
      <c r="C156" s="2"/>
      <c r="D156" s="25"/>
      <c r="E156" s="35"/>
    </row>
    <row r="157" spans="2:5" ht="15" thickBot="1" x14ac:dyDescent="0.35">
      <c r="B157" s="32" t="s">
        <v>1399</v>
      </c>
      <c r="C157" s="2"/>
      <c r="D157" s="25"/>
      <c r="E157" s="35"/>
    </row>
    <row r="158" spans="2:5" ht="15" thickBot="1" x14ac:dyDescent="0.35">
      <c r="B158" s="32" t="s">
        <v>1400</v>
      </c>
      <c r="C158" s="4"/>
      <c r="D158" s="25"/>
      <c r="E158" s="35"/>
    </row>
    <row r="159" spans="2:5" ht="15" thickBot="1" x14ac:dyDescent="0.35">
      <c r="B159" s="32" t="s">
        <v>1401</v>
      </c>
      <c r="C159" s="2"/>
      <c r="D159" s="25"/>
      <c r="E159" s="35"/>
    </row>
    <row r="160" spans="2:5" ht="15" thickBot="1" x14ac:dyDescent="0.35">
      <c r="B160" s="32" t="s">
        <v>1402</v>
      </c>
      <c r="C160" s="2"/>
      <c r="D160" s="25"/>
      <c r="E160" s="35"/>
    </row>
    <row r="161" spans="2:5" ht="15" thickBot="1" x14ac:dyDescent="0.35">
      <c r="B161" s="32" t="s">
        <v>1403</v>
      </c>
      <c r="C161" s="2"/>
      <c r="D161" s="25"/>
      <c r="E161" s="35"/>
    </row>
    <row r="162" spans="2:5" ht="15" thickBot="1" x14ac:dyDescent="0.35">
      <c r="B162" s="32" t="s">
        <v>1404</v>
      </c>
      <c r="C162" s="2"/>
      <c r="D162" s="25"/>
      <c r="E162" s="35"/>
    </row>
    <row r="163" spans="2:5" ht="15" thickBot="1" x14ac:dyDescent="0.35">
      <c r="B163" s="32" t="s">
        <v>1405</v>
      </c>
      <c r="C163" s="2"/>
      <c r="D163" s="25"/>
      <c r="E163" s="35"/>
    </row>
    <row r="164" spans="2:5" ht="15" thickBot="1" x14ac:dyDescent="0.35">
      <c r="B164" s="32" t="s">
        <v>1406</v>
      </c>
      <c r="C164" s="2"/>
      <c r="D164" s="25"/>
      <c r="E164" s="35"/>
    </row>
    <row r="165" spans="2:5" ht="15" thickBot="1" x14ac:dyDescent="0.35">
      <c r="B165" s="32" t="s">
        <v>1407</v>
      </c>
      <c r="C165" s="2"/>
      <c r="D165" s="25"/>
      <c r="E165" s="35"/>
    </row>
    <row r="166" spans="2:5" ht="15" thickBot="1" x14ac:dyDescent="0.35">
      <c r="B166" s="32" t="s">
        <v>1408</v>
      </c>
      <c r="C166" s="2"/>
      <c r="D166" s="25"/>
      <c r="E166" s="35"/>
    </row>
    <row r="167" spans="2:5" ht="15" thickBot="1" x14ac:dyDescent="0.35">
      <c r="B167" s="32" t="s">
        <v>1409</v>
      </c>
      <c r="C167" s="2"/>
      <c r="D167" s="25"/>
      <c r="E167" s="35"/>
    </row>
    <row r="168" spans="2:5" ht="15" thickBot="1" x14ac:dyDescent="0.35">
      <c r="B168" s="32" t="s">
        <v>1410</v>
      </c>
      <c r="C168" s="2"/>
      <c r="D168" s="25"/>
      <c r="E168" s="35"/>
    </row>
    <row r="169" spans="2:5" ht="15" thickBot="1" x14ac:dyDescent="0.35">
      <c r="B169" s="32" t="s">
        <v>1411</v>
      </c>
      <c r="C169" s="2"/>
      <c r="D169" s="25"/>
      <c r="E169" s="35"/>
    </row>
    <row r="170" spans="2:5" ht="15" thickBot="1" x14ac:dyDescent="0.35">
      <c r="B170" s="32" t="s">
        <v>1412</v>
      </c>
      <c r="C170" s="2"/>
      <c r="D170" s="25"/>
      <c r="E170" s="35"/>
    </row>
    <row r="171" spans="2:5" ht="15" thickBot="1" x14ac:dyDescent="0.35">
      <c r="B171" s="32" t="s">
        <v>1413</v>
      </c>
      <c r="C171" s="2"/>
      <c r="D171" s="25"/>
      <c r="E171" s="35"/>
    </row>
    <row r="172" spans="2:5" ht="15" thickBot="1" x14ac:dyDescent="0.35">
      <c r="B172" s="32" t="s">
        <v>1414</v>
      </c>
      <c r="C172" s="2"/>
      <c r="D172" s="25"/>
      <c r="E172" s="35"/>
    </row>
    <row r="173" spans="2:5" ht="15" thickBot="1" x14ac:dyDescent="0.35">
      <c r="B173" s="32" t="s">
        <v>1415</v>
      </c>
      <c r="C173" s="2"/>
      <c r="D173" s="25"/>
      <c r="E173" s="35"/>
    </row>
    <row r="174" spans="2:5" ht="15" thickBot="1" x14ac:dyDescent="0.35">
      <c r="B174" s="32" t="s">
        <v>1416</v>
      </c>
      <c r="C174" s="2"/>
      <c r="D174" s="25"/>
      <c r="E174" s="35"/>
    </row>
    <row r="175" spans="2:5" ht="15" thickBot="1" x14ac:dyDescent="0.35">
      <c r="B175" s="32" t="s">
        <v>1417</v>
      </c>
      <c r="C175" s="2"/>
      <c r="D175" s="25"/>
      <c r="E175" s="35"/>
    </row>
    <row r="176" spans="2:5" ht="15" thickBot="1" x14ac:dyDescent="0.35">
      <c r="B176" s="32" t="s">
        <v>1418</v>
      </c>
      <c r="C176" s="38"/>
      <c r="D176" s="25"/>
      <c r="E176" s="35"/>
    </row>
    <row r="177" spans="2:5" ht="15" thickBot="1" x14ac:dyDescent="0.35">
      <c r="B177" s="32" t="s">
        <v>1419</v>
      </c>
      <c r="C177" s="2"/>
      <c r="D177" s="25"/>
      <c r="E177" s="35"/>
    </row>
    <row r="178" spans="2:5" ht="15" thickBot="1" x14ac:dyDescent="0.35">
      <c r="B178" s="32" t="s">
        <v>1420</v>
      </c>
      <c r="C178" s="2"/>
      <c r="D178" s="25"/>
      <c r="E178" s="35"/>
    </row>
    <row r="179" spans="2:5" ht="15" thickBot="1" x14ac:dyDescent="0.35">
      <c r="B179" s="32" t="s">
        <v>1421</v>
      </c>
      <c r="C179" s="2"/>
      <c r="D179" s="25"/>
      <c r="E179" s="35"/>
    </row>
    <row r="180" spans="2:5" ht="15" thickBot="1" x14ac:dyDescent="0.35">
      <c r="B180" s="32" t="s">
        <v>1422</v>
      </c>
      <c r="C180" s="2"/>
      <c r="D180" s="25"/>
      <c r="E180" s="35"/>
    </row>
    <row r="181" spans="2:5" ht="15" thickBot="1" x14ac:dyDescent="0.35">
      <c r="B181" s="32" t="s">
        <v>1423</v>
      </c>
      <c r="C181" s="2"/>
      <c r="D181" s="25"/>
      <c r="E181" s="35"/>
    </row>
    <row r="182" spans="2:5" ht="15" thickBot="1" x14ac:dyDescent="0.35">
      <c r="B182" s="32" t="s">
        <v>1424</v>
      </c>
      <c r="C182" s="2"/>
      <c r="D182" s="25"/>
      <c r="E182" s="35"/>
    </row>
    <row r="183" spans="2:5" ht="15" thickBot="1" x14ac:dyDescent="0.35">
      <c r="B183" s="32" t="s">
        <v>1425</v>
      </c>
      <c r="C183" s="2"/>
      <c r="D183" s="25"/>
      <c r="E183" s="35"/>
    </row>
    <row r="184" spans="2:5" ht="15" thickBot="1" x14ac:dyDescent="0.35">
      <c r="B184" s="32" t="s">
        <v>1426</v>
      </c>
      <c r="C184" s="2"/>
      <c r="D184" s="25"/>
      <c r="E184" s="35"/>
    </row>
    <row r="185" spans="2:5" ht="15" thickBot="1" x14ac:dyDescent="0.35">
      <c r="B185" s="32" t="s">
        <v>1427</v>
      </c>
      <c r="C185" s="2"/>
      <c r="D185" s="25"/>
      <c r="E185" s="35"/>
    </row>
    <row r="186" spans="2:5" ht="15" thickBot="1" x14ac:dyDescent="0.35">
      <c r="B186" s="32" t="s">
        <v>1428</v>
      </c>
      <c r="C186" s="2"/>
      <c r="D186" s="25"/>
      <c r="E186" s="35"/>
    </row>
    <row r="187" spans="2:5" ht="15" thickBot="1" x14ac:dyDescent="0.35">
      <c r="B187" s="32" t="s">
        <v>1429</v>
      </c>
      <c r="C187" s="2"/>
      <c r="D187" s="25"/>
      <c r="E187" s="35"/>
    </row>
    <row r="188" spans="2:5" ht="15" thickBot="1" x14ac:dyDescent="0.35">
      <c r="B188" s="32" t="s">
        <v>1430</v>
      </c>
      <c r="C188" s="2"/>
      <c r="D188" s="25"/>
      <c r="E188" s="35"/>
    </row>
    <row r="189" spans="2:5" ht="15" thickBot="1" x14ac:dyDescent="0.35">
      <c r="B189" s="32" t="s">
        <v>1431</v>
      </c>
      <c r="C189" s="4"/>
      <c r="D189" s="25"/>
      <c r="E189" s="35"/>
    </row>
    <row r="190" spans="2:5" ht="15" thickBot="1" x14ac:dyDescent="0.35">
      <c r="B190" s="32" t="s">
        <v>1432</v>
      </c>
      <c r="C190" s="4"/>
      <c r="D190" s="25"/>
      <c r="E190" s="35"/>
    </row>
    <row r="191" spans="2:5" ht="15" thickBot="1" x14ac:dyDescent="0.35">
      <c r="B191" s="32" t="s">
        <v>1433</v>
      </c>
      <c r="C191" s="2"/>
      <c r="D191" s="25"/>
      <c r="E191" s="35"/>
    </row>
    <row r="192" spans="2:5" ht="15" thickBot="1" x14ac:dyDescent="0.35">
      <c r="B192" s="32" t="s">
        <v>1434</v>
      </c>
      <c r="C192" s="2"/>
      <c r="D192" s="25"/>
      <c r="E192" s="35"/>
    </row>
    <row r="193" spans="2:5" ht="15" thickBot="1" x14ac:dyDescent="0.35">
      <c r="B193" s="32" t="s">
        <v>1435</v>
      </c>
      <c r="C193" s="2"/>
      <c r="D193" s="25"/>
      <c r="E193" s="35"/>
    </row>
    <row r="194" spans="2:5" ht="15" thickBot="1" x14ac:dyDescent="0.35">
      <c r="B194" s="32" t="s">
        <v>1436</v>
      </c>
      <c r="C194" s="2"/>
      <c r="D194" s="25"/>
      <c r="E194" s="39"/>
    </row>
    <row r="195" spans="2:5" ht="15" thickBot="1" x14ac:dyDescent="0.35">
      <c r="B195" s="32" t="s">
        <v>1437</v>
      </c>
      <c r="C195" s="2"/>
      <c r="D195" s="25"/>
      <c r="E195" s="35"/>
    </row>
    <row r="196" spans="2:5" ht="15" thickBot="1" x14ac:dyDescent="0.35">
      <c r="B196" s="32" t="s">
        <v>1438</v>
      </c>
      <c r="C196" s="2"/>
      <c r="D196" s="25"/>
      <c r="E196" s="35"/>
    </row>
    <row r="197" spans="2:5" ht="15" thickBot="1" x14ac:dyDescent="0.35">
      <c r="B197" s="32" t="s">
        <v>1439</v>
      </c>
      <c r="C197" s="2"/>
      <c r="D197" s="25"/>
      <c r="E197" s="39"/>
    </row>
    <row r="198" spans="2:5" ht="15" thickBot="1" x14ac:dyDescent="0.35">
      <c r="B198" s="32" t="s">
        <v>1440</v>
      </c>
      <c r="C198" s="2"/>
      <c r="D198" s="25"/>
      <c r="E198" s="35"/>
    </row>
    <row r="199" spans="2:5" ht="15" thickBot="1" x14ac:dyDescent="0.35">
      <c r="B199" s="32" t="s">
        <v>1441</v>
      </c>
      <c r="C199" s="2"/>
      <c r="D199" s="25"/>
      <c r="E199" s="39"/>
    </row>
    <row r="200" spans="2:5" ht="15" thickBot="1" x14ac:dyDescent="0.35">
      <c r="B200" s="32" t="s">
        <v>1442</v>
      </c>
      <c r="C200" s="2"/>
      <c r="D200" s="25"/>
      <c r="E200" s="35"/>
    </row>
    <row r="201" spans="2:5" ht="15" thickBot="1" x14ac:dyDescent="0.35">
      <c r="B201" s="32" t="s">
        <v>1443</v>
      </c>
      <c r="C201" s="2"/>
      <c r="D201" s="25"/>
      <c r="E201" s="35"/>
    </row>
    <row r="202" spans="2:5" ht="15" thickBot="1" x14ac:dyDescent="0.35">
      <c r="B202" s="32" t="s">
        <v>1444</v>
      </c>
      <c r="C202" s="2" t="s">
        <v>1445</v>
      </c>
      <c r="D202" s="25" t="s">
        <v>1540</v>
      </c>
      <c r="E202" s="35" t="s">
        <v>10</v>
      </c>
    </row>
    <row r="203" spans="2:5" ht="15" thickBot="1" x14ac:dyDescent="0.35">
      <c r="B203" s="32" t="s">
        <v>1446</v>
      </c>
      <c r="C203" s="2" t="s">
        <v>1447</v>
      </c>
      <c r="D203" s="25" t="s">
        <v>1540</v>
      </c>
      <c r="E203" s="35" t="s">
        <v>10</v>
      </c>
    </row>
    <row r="204" spans="2:5" ht="15" thickBot="1" x14ac:dyDescent="0.35">
      <c r="B204" s="32" t="s">
        <v>1448</v>
      </c>
      <c r="C204" s="2" t="s">
        <v>1449</v>
      </c>
      <c r="D204" s="25" t="s">
        <v>1540</v>
      </c>
      <c r="E204" s="39" t="s">
        <v>10</v>
      </c>
    </row>
    <row r="205" spans="2:5" ht="15" thickBot="1" x14ac:dyDescent="0.35">
      <c r="B205" s="32" t="s">
        <v>1450</v>
      </c>
      <c r="C205" s="2"/>
      <c r="D205" s="25"/>
      <c r="E205" s="35"/>
    </row>
    <row r="206" spans="2:5" ht="15" thickBot="1" x14ac:dyDescent="0.35">
      <c r="B206" s="32" t="s">
        <v>1451</v>
      </c>
      <c r="C206" s="2"/>
      <c r="D206" s="25"/>
      <c r="E206" s="39"/>
    </row>
    <row r="207" spans="2:5" ht="15" thickBot="1" x14ac:dyDescent="0.35">
      <c r="B207" s="32" t="s">
        <v>1452</v>
      </c>
      <c r="C207" s="2"/>
      <c r="D207" s="25"/>
      <c r="E207" s="35"/>
    </row>
    <row r="208" spans="2:5" ht="15" thickBot="1" x14ac:dyDescent="0.35">
      <c r="B208" s="32" t="s">
        <v>1453</v>
      </c>
      <c r="C208" s="2"/>
      <c r="D208" s="25"/>
      <c r="E208" s="39"/>
    </row>
    <row r="209" spans="2:5" ht="15" thickBot="1" x14ac:dyDescent="0.35">
      <c r="B209" s="32" t="s">
        <v>1454</v>
      </c>
      <c r="C209" s="2"/>
      <c r="D209" s="25"/>
      <c r="E209" s="35"/>
    </row>
    <row r="210" spans="2:5" ht="15" thickBot="1" x14ac:dyDescent="0.35">
      <c r="B210" s="32" t="s">
        <v>1455</v>
      </c>
      <c r="C210" s="2"/>
      <c r="D210" s="25"/>
      <c r="E210" s="35"/>
    </row>
    <row r="211" spans="2:5" ht="15" thickBot="1" x14ac:dyDescent="0.35">
      <c r="B211" s="32" t="s">
        <v>1456</v>
      </c>
      <c r="C211" s="4"/>
      <c r="D211" s="27"/>
      <c r="E211" s="35"/>
    </row>
    <row r="212" spans="2:5" ht="15" thickBot="1" x14ac:dyDescent="0.35">
      <c r="B212" s="32" t="s">
        <v>1457</v>
      </c>
      <c r="C212" s="2"/>
      <c r="D212" s="25"/>
      <c r="E212" s="35"/>
    </row>
    <row r="213" spans="2:5" ht="15" thickBot="1" x14ac:dyDescent="0.35">
      <c r="B213" s="32" t="s">
        <v>1458</v>
      </c>
      <c r="C213" s="2"/>
      <c r="D213" s="25"/>
      <c r="E213" s="35"/>
    </row>
    <row r="214" spans="2:5" ht="15" thickBot="1" x14ac:dyDescent="0.35">
      <c r="B214" s="32" t="s">
        <v>1459</v>
      </c>
      <c r="C214" s="4"/>
      <c r="D214" s="25"/>
      <c r="E214" s="35"/>
    </row>
    <row r="215" spans="2:5" ht="15" thickBot="1" x14ac:dyDescent="0.35">
      <c r="B215" s="32" t="s">
        <v>1460</v>
      </c>
      <c r="C215" s="2"/>
      <c r="D215" s="25"/>
      <c r="E215" s="35"/>
    </row>
    <row r="216" spans="2:5" ht="15" thickBot="1" x14ac:dyDescent="0.35">
      <c r="B216" s="32" t="s">
        <v>1461</v>
      </c>
      <c r="C216" s="2"/>
      <c r="D216" s="25"/>
      <c r="E216" s="35"/>
    </row>
    <row r="217" spans="2:5" ht="15" thickBot="1" x14ac:dyDescent="0.35">
      <c r="B217" s="32" t="s">
        <v>1462</v>
      </c>
      <c r="C217" s="2"/>
      <c r="D217" s="25"/>
      <c r="E217" s="35"/>
    </row>
    <row r="218" spans="2:5" ht="15" thickBot="1" x14ac:dyDescent="0.35">
      <c r="B218" s="32" t="s">
        <v>1463</v>
      </c>
      <c r="C218" s="2"/>
      <c r="D218" s="25"/>
      <c r="E218" s="35"/>
    </row>
    <row r="219" spans="2:5" ht="15" thickBot="1" x14ac:dyDescent="0.35">
      <c r="B219" s="32" t="s">
        <v>1464</v>
      </c>
      <c r="C219" s="2"/>
      <c r="D219" s="25"/>
      <c r="E219" s="35"/>
    </row>
    <row r="220" spans="2:5" ht="15" thickBot="1" x14ac:dyDescent="0.35">
      <c r="B220" s="32" t="s">
        <v>1465</v>
      </c>
      <c r="C220" s="2"/>
      <c r="D220" s="25"/>
      <c r="E220" s="35"/>
    </row>
    <row r="221" spans="2:5" ht="15" thickBot="1" x14ac:dyDescent="0.35">
      <c r="B221" s="32" t="s">
        <v>1466</v>
      </c>
      <c r="C221" s="2"/>
      <c r="D221" s="25"/>
      <c r="E221" s="35"/>
    </row>
    <row r="222" spans="2:5" ht="15" thickBot="1" x14ac:dyDescent="0.35">
      <c r="B222" s="32" t="s">
        <v>1467</v>
      </c>
      <c r="C222" s="2"/>
      <c r="D222" s="25"/>
      <c r="E222" s="35"/>
    </row>
    <row r="223" spans="2:5" ht="15" thickBot="1" x14ac:dyDescent="0.35">
      <c r="B223" s="32" t="s">
        <v>1468</v>
      </c>
      <c r="C223" s="2"/>
      <c r="D223" s="25"/>
      <c r="E223" s="35"/>
    </row>
    <row r="224" spans="2:5" ht="15" thickBot="1" x14ac:dyDescent="0.35">
      <c r="B224" s="32" t="s">
        <v>1469</v>
      </c>
      <c r="C224" s="2"/>
      <c r="D224" s="25"/>
      <c r="E224" s="35"/>
    </row>
    <row r="225" spans="2:5" ht="15" thickBot="1" x14ac:dyDescent="0.35">
      <c r="B225" s="32" t="s">
        <v>1470</v>
      </c>
      <c r="C225" s="2"/>
      <c r="D225" s="25"/>
      <c r="E225" s="35"/>
    </row>
    <row r="226" spans="2:5" ht="15" thickBot="1" x14ac:dyDescent="0.35">
      <c r="B226" s="32" t="s">
        <v>1471</v>
      </c>
      <c r="C226" s="4"/>
      <c r="D226" s="27"/>
      <c r="E226" s="35"/>
    </row>
    <row r="227" spans="2:5" ht="15" thickBot="1" x14ac:dyDescent="0.35">
      <c r="B227" s="32" t="s">
        <v>1472</v>
      </c>
      <c r="C227" s="2"/>
      <c r="D227" s="25"/>
      <c r="E227" s="35"/>
    </row>
    <row r="228" spans="2:5" ht="15" thickBot="1" x14ac:dyDescent="0.35">
      <c r="B228" s="32" t="s">
        <v>1473</v>
      </c>
      <c r="C228" s="2"/>
      <c r="D228" s="25"/>
      <c r="E228" s="35"/>
    </row>
    <row r="229" spans="2:5" ht="15" thickBot="1" x14ac:dyDescent="0.35">
      <c r="B229" s="32" t="s">
        <v>1474</v>
      </c>
      <c r="C229" s="2"/>
      <c r="D229" s="25"/>
      <c r="E229" s="35"/>
    </row>
    <row r="230" spans="2:5" ht="15" thickBot="1" x14ac:dyDescent="0.35">
      <c r="B230" s="32" t="s">
        <v>1475</v>
      </c>
      <c r="C230" s="2"/>
      <c r="D230" s="25"/>
      <c r="E230" s="35"/>
    </row>
    <row r="231" spans="2:5" ht="15" thickBot="1" x14ac:dyDescent="0.35">
      <c r="B231" s="32" t="s">
        <v>1476</v>
      </c>
      <c r="C231" s="2"/>
      <c r="D231" s="25"/>
      <c r="E231" s="35"/>
    </row>
    <row r="232" spans="2:5" ht="15" thickBot="1" x14ac:dyDescent="0.35">
      <c r="B232" s="32" t="s">
        <v>1477</v>
      </c>
      <c r="C232" s="38"/>
      <c r="D232" s="25"/>
      <c r="E232" s="35"/>
    </row>
    <row r="233" spans="2:5" ht="15" thickBot="1" x14ac:dyDescent="0.35">
      <c r="B233" s="32" t="s">
        <v>1478</v>
      </c>
      <c r="C233" s="2"/>
      <c r="D233" s="25"/>
      <c r="E233" s="35"/>
    </row>
    <row r="234" spans="2:5" ht="15" thickBot="1" x14ac:dyDescent="0.35">
      <c r="B234" s="32" t="s">
        <v>1479</v>
      </c>
      <c r="C234" s="2"/>
      <c r="D234" s="25"/>
      <c r="E234" s="39"/>
    </row>
    <row r="235" spans="2:5" ht="15" thickBot="1" x14ac:dyDescent="0.35">
      <c r="B235" s="32" t="s">
        <v>1480</v>
      </c>
      <c r="C235" s="2"/>
      <c r="D235" s="25"/>
      <c r="E235" s="35"/>
    </row>
    <row r="236" spans="2:5" ht="15" thickBot="1" x14ac:dyDescent="0.35">
      <c r="B236" s="32" t="s">
        <v>1481</v>
      </c>
      <c r="C236" s="2"/>
      <c r="D236" s="25"/>
      <c r="E236" s="35"/>
    </row>
    <row r="237" spans="2:5" ht="15" thickBot="1" x14ac:dyDescent="0.35">
      <c r="B237" s="32" t="s">
        <v>1482</v>
      </c>
      <c r="C237" s="2"/>
      <c r="D237" s="25"/>
      <c r="E237" s="35"/>
    </row>
    <row r="238" spans="2:5" ht="15" thickBot="1" x14ac:dyDescent="0.35">
      <c r="B238" s="32" t="s">
        <v>1483</v>
      </c>
      <c r="C238" s="2"/>
      <c r="D238" s="25"/>
      <c r="E238" s="35"/>
    </row>
    <row r="239" spans="2:5" ht="15" thickBot="1" x14ac:dyDescent="0.35">
      <c r="B239" s="32" t="s">
        <v>1484</v>
      </c>
      <c r="C239" s="2"/>
      <c r="D239" s="25"/>
      <c r="E239" s="35"/>
    </row>
    <row r="240" spans="2:5" ht="15" thickBot="1" x14ac:dyDescent="0.35">
      <c r="B240" s="32" t="s">
        <v>1485</v>
      </c>
      <c r="C240" s="2"/>
      <c r="D240" s="25"/>
      <c r="E240" s="35"/>
    </row>
    <row r="241" spans="2:5" ht="15" thickBot="1" x14ac:dyDescent="0.35">
      <c r="B241" s="32" t="s">
        <v>1486</v>
      </c>
      <c r="C241" s="40"/>
      <c r="D241" s="25"/>
      <c r="E241" s="35"/>
    </row>
    <row r="242" spans="2:5" ht="15" thickBot="1" x14ac:dyDescent="0.35">
      <c r="B242" s="32" t="s">
        <v>1487</v>
      </c>
      <c r="C242" s="2"/>
      <c r="D242" s="25"/>
      <c r="E242" s="35"/>
    </row>
    <row r="243" spans="2:5" ht="15" thickBot="1" x14ac:dyDescent="0.35">
      <c r="B243" s="32" t="s">
        <v>1488</v>
      </c>
      <c r="C243" s="2"/>
      <c r="D243" s="25"/>
      <c r="E243" s="35"/>
    </row>
    <row r="244" spans="2:5" ht="15" thickBot="1" x14ac:dyDescent="0.35">
      <c r="B244" s="32" t="s">
        <v>1489</v>
      </c>
      <c r="C244" s="22"/>
      <c r="D244" s="28"/>
      <c r="E244" s="41"/>
    </row>
    <row r="245" spans="2:5" ht="15" thickBot="1" x14ac:dyDescent="0.35">
      <c r="B245" s="32" t="s">
        <v>1490</v>
      </c>
      <c r="C245" s="2"/>
      <c r="D245" s="25"/>
      <c r="E245" s="35"/>
    </row>
    <row r="246" spans="2:5" ht="15" thickBot="1" x14ac:dyDescent="0.35">
      <c r="B246" s="32" t="s">
        <v>1491</v>
      </c>
      <c r="C246" s="2"/>
      <c r="D246" s="25"/>
      <c r="E246" s="35"/>
    </row>
    <row r="247" spans="2:5" ht="15" thickBot="1" x14ac:dyDescent="0.35">
      <c r="B247" s="32" t="s">
        <v>1492</v>
      </c>
      <c r="C247" s="2"/>
      <c r="D247" s="25"/>
      <c r="E247" s="35"/>
    </row>
    <row r="248" spans="2:5" ht="15" thickBot="1" x14ac:dyDescent="0.35">
      <c r="B248" s="32" t="s">
        <v>1493</v>
      </c>
      <c r="C248" s="4"/>
      <c r="D248" s="25"/>
      <c r="E248" s="35"/>
    </row>
    <row r="249" spans="2:5" ht="15" thickBot="1" x14ac:dyDescent="0.35">
      <c r="B249" s="32" t="s">
        <v>1494</v>
      </c>
      <c r="C249" s="2"/>
      <c r="D249" s="25"/>
      <c r="E249" s="35"/>
    </row>
    <row r="250" spans="2:5" ht="15" thickBot="1" x14ac:dyDescent="0.35">
      <c r="B250" s="32" t="s">
        <v>1495</v>
      </c>
      <c r="C250" s="4"/>
      <c r="D250" s="25"/>
      <c r="E250" s="35"/>
    </row>
    <row r="251" spans="2:5" ht="15" thickBot="1" x14ac:dyDescent="0.35">
      <c r="B251" s="32" t="s">
        <v>1496</v>
      </c>
      <c r="C251" s="2"/>
      <c r="D251" s="25"/>
      <c r="E251" s="35"/>
    </row>
    <row r="252" spans="2:5" ht="15" thickBot="1" x14ac:dyDescent="0.35">
      <c r="B252" s="32" t="s">
        <v>1497</v>
      </c>
      <c r="C252" s="2"/>
      <c r="D252" s="25"/>
      <c r="E252" s="35"/>
    </row>
    <row r="253" spans="2:5" ht="15" thickBot="1" x14ac:dyDescent="0.35">
      <c r="B253" s="32" t="s">
        <v>1498</v>
      </c>
      <c r="C253" s="2"/>
      <c r="D253" s="25"/>
      <c r="E253" s="35"/>
    </row>
    <row r="254" spans="2:5" ht="15" thickBot="1" x14ac:dyDescent="0.35">
      <c r="B254" s="32" t="s">
        <v>1499</v>
      </c>
      <c r="C254" s="2"/>
      <c r="D254" s="25"/>
      <c r="E254" s="35"/>
    </row>
    <row r="255" spans="2:5" ht="15" thickBot="1" x14ac:dyDescent="0.35">
      <c r="B255" s="32" t="s">
        <v>1500</v>
      </c>
      <c r="C255" s="2"/>
      <c r="D255" s="25"/>
      <c r="E255" s="35"/>
    </row>
    <row r="256" spans="2:5" ht="15" thickBot="1" x14ac:dyDescent="0.35">
      <c r="B256" s="32" t="s">
        <v>1501</v>
      </c>
      <c r="C256" s="2"/>
      <c r="D256" s="25"/>
      <c r="E256" s="39"/>
    </row>
    <row r="257" spans="2:5" ht="15" thickBot="1" x14ac:dyDescent="0.35">
      <c r="B257" s="32" t="s">
        <v>1502</v>
      </c>
      <c r="C257" s="43" t="s">
        <v>449</v>
      </c>
      <c r="D257" s="44"/>
      <c r="E257" s="45"/>
    </row>
  </sheetData>
  <phoneticPr fontId="10" type="noConversion"/>
  <conditionalFormatting sqref="C2:C231 C233:C240 C242:C243 C244:E244 C245:C257">
    <cfRule type="containsText" dxfId="27" priority="37" operator="containsText" text="libre">
      <formula>NOT(ISERROR(SEARCH("libre",C2)))</formula>
    </cfRule>
  </conditionalFormatting>
  <conditionalFormatting sqref="D2:D3 D5:D7 D9:D243 E34 D245:D257">
    <cfRule type="cellIs" dxfId="26" priority="35" operator="equal">
      <formula>"USUARIO"</formula>
    </cfRule>
    <cfRule type="cellIs" dxfId="25" priority="36" operator="equal">
      <formula>"SERVIDOR"</formula>
    </cfRule>
  </conditionalFormatting>
  <conditionalFormatting sqref="D2:D243 E34 D245:D257">
    <cfRule type="containsText" dxfId="24" priority="28" operator="containsText" text="SENSOR ">
      <formula>NOT(ISERROR(SEARCH("SENSOR ",D2)))</formula>
    </cfRule>
    <cfRule type="containsText" dxfId="23" priority="29" operator="containsText" text="TELEFONO">
      <formula>NOT(ISERROR(SEARCH("TELEFONO",D2)))</formula>
    </cfRule>
    <cfRule type="containsText" dxfId="22" priority="30" operator="containsText" text="CONTROL ACCESO">
      <formula>NOT(ISERROR(SEARCH("CONTROL ACCESO",D2)))</formula>
    </cfRule>
    <cfRule type="containsText" dxfId="21" priority="31" operator="containsText" text="RELOJ TALANA">
      <formula>NOT(ISERROR(SEARCH("RELOJ TALANA",D2)))</formula>
    </cfRule>
    <cfRule type="containsText" dxfId="20" priority="32" operator="containsText" text="IMPRESORA">
      <formula>NOT(ISERROR(SEARCH("IMPRESORA",D2)))</formula>
    </cfRule>
    <cfRule type="containsText" dxfId="19" priority="33" operator="containsText" text="NUC">
      <formula>NOT(ISERROR(SEARCH("NUC",D2)))</formula>
    </cfRule>
  </conditionalFormatting>
  <conditionalFormatting sqref="D4:E4">
    <cfRule type="containsText" dxfId="18" priority="34" operator="containsText" text="libre">
      <formula>NOT(ISERROR(SEARCH("libre",D4)))</formula>
    </cfRule>
  </conditionalFormatting>
  <conditionalFormatting sqref="D8:E8">
    <cfRule type="containsText" dxfId="17" priority="21" operator="containsText" text="libre">
      <formula>NOT(ISERROR(SEARCH("libre",D8)))</formula>
    </cfRule>
  </conditionalFormatting>
  <conditionalFormatting sqref="E194">
    <cfRule type="containsText" dxfId="16" priority="26" operator="containsText" text="libre">
      <formula>NOT(ISERROR(SEARCH("libre",E194)))</formula>
    </cfRule>
  </conditionalFormatting>
  <conditionalFormatting sqref="E197">
    <cfRule type="containsText" dxfId="15" priority="25" operator="containsText" text="libre">
      <formula>NOT(ISERROR(SEARCH("libre",E197)))</formula>
    </cfRule>
  </conditionalFormatting>
  <conditionalFormatting sqref="E199">
    <cfRule type="containsText" dxfId="14" priority="24" operator="containsText" text="libre">
      <formula>NOT(ISERROR(SEARCH("libre",E199)))</formula>
    </cfRule>
  </conditionalFormatting>
  <conditionalFormatting sqref="E204">
    <cfRule type="containsText" dxfId="13" priority="27" operator="containsText" text="libre">
      <formula>NOT(ISERROR(SEARCH("libre",E204)))</formula>
    </cfRule>
  </conditionalFormatting>
  <conditionalFormatting sqref="E206">
    <cfRule type="containsText" dxfId="12" priority="23" operator="containsText" text="libre">
      <formula>NOT(ISERROR(SEARCH("libre",E206)))</formula>
    </cfRule>
  </conditionalFormatting>
  <conditionalFormatting sqref="E208">
    <cfRule type="containsText" dxfId="11" priority="20" operator="containsText" text="libre">
      <formula>NOT(ISERROR(SEARCH("libre",E208)))</formula>
    </cfRule>
  </conditionalFormatting>
  <conditionalFormatting sqref="E234">
    <cfRule type="containsText" dxfId="10" priority="22" operator="containsText" text="libre">
      <formula>NOT(ISERROR(SEARCH("libre",E234)))</formula>
    </cfRule>
  </conditionalFormatting>
  <conditionalFormatting sqref="E256">
    <cfRule type="containsText" dxfId="9" priority="19" operator="containsText" text="libre">
      <formula>NOT(ISERROR(SEARCH("libre",E256)))</formula>
    </cfRule>
  </conditionalFormatting>
  <conditionalFormatting sqref="G4 G7:G11">
    <cfRule type="containsText" dxfId="8" priority="2" operator="containsText" text="SENSOR ">
      <formula>NOT(ISERROR(SEARCH("SENSOR ",G4)))</formula>
    </cfRule>
    <cfRule type="containsText" dxfId="7" priority="3" operator="containsText" text="TELEFONO">
      <formula>NOT(ISERROR(SEARCH("TELEFONO",G4)))</formula>
    </cfRule>
    <cfRule type="containsText" dxfId="6" priority="4" operator="containsText" text="CONTROL ACCESO">
      <formula>NOT(ISERROR(SEARCH("CONTROL ACCESO",G4)))</formula>
    </cfRule>
    <cfRule type="containsText" dxfId="5" priority="5" operator="containsText" text="RELOJ TALANA">
      <formula>NOT(ISERROR(SEARCH("RELOJ TALANA",G4)))</formula>
    </cfRule>
    <cfRule type="containsText" dxfId="4" priority="6" operator="containsText" text="IMPRESORA">
      <formula>NOT(ISERROR(SEARCH("IMPRESORA",G4)))</formula>
    </cfRule>
    <cfRule type="containsText" dxfId="3" priority="7" operator="containsText" text="NUC">
      <formula>NOT(ISERROR(SEARCH("NUC",G4)))</formula>
    </cfRule>
    <cfRule type="cellIs" dxfId="2" priority="8" operator="equal">
      <formula>"USUARIO"</formula>
    </cfRule>
    <cfRule type="cellIs" dxfId="1" priority="9" operator="equal">
      <formula>"SERVIDOR"</formula>
    </cfRule>
  </conditionalFormatting>
  <conditionalFormatting sqref="G12:G13">
    <cfRule type="containsText" dxfId="0" priority="1" operator="containsText" text="libre">
      <formula>NOT(ISERROR(SEARCH("libre",G12)))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172.23.1.0 ESTÁTICO</vt:lpstr>
      <vt:lpstr>172.25.1.0 DHCP</vt:lpstr>
      <vt:lpstr>192.168.10.0 ESTÁTICO</vt:lpstr>
      <vt:lpstr>192.168.20.0 DHCP</vt:lpstr>
      <vt:lpstr>192.168.90.0 DHCP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Mendez Artigas Lucas Javier</dc:creator>
  <cp:keywords/>
  <dc:description/>
  <cp:lastModifiedBy>Alarcon Lopez Rodrigo Andres</cp:lastModifiedBy>
  <cp:revision/>
  <dcterms:created xsi:type="dcterms:W3CDTF">2025-04-25T13:37:47Z</dcterms:created>
  <dcterms:modified xsi:type="dcterms:W3CDTF">2026-08-26T19:25:41Z</dcterms:modified>
  <cp:category/>
  <cp:contentStatus/>
</cp:coreProperties>
</file>